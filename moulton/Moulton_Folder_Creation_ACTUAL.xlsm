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"/>
    </mc:Choice>
  </mc:AlternateContent>
  <xr:revisionPtr revIDLastSave="0" documentId="13_ncr:1_{FF79EE66-68DF-4C48-A607-5166FBA96908}" xr6:coauthVersionLast="47" xr6:coauthVersionMax="47" xr10:uidLastSave="{00000000-0000-0000-0000-000000000000}"/>
  <bookViews>
    <workbookView minimized="1" xWindow="380" yWindow="380" windowWidth="14400" windowHeight="7270" xr2:uid="{91F497B1-2B99-439A-9E42-92B5AE8796BB}"/>
  </bookViews>
  <sheets>
    <sheet name="Folder_Generator" sheetId="1" r:id="rId1"/>
    <sheet name="Option" sheetId="2" r:id="rId2"/>
    <sheet name="Intake_Completed" sheetId="3" r:id="rId3"/>
    <sheet name="Learning" sheetId="5" r:id="rId4"/>
    <sheet name="Tasks" sheetId="6" r:id="rId5"/>
  </sheets>
  <functionGroups builtInGroupCount="19"/>
  <definedNames>
    <definedName name="_xlnm._FilterDatabase" localSheetId="2" hidden="1">Intake_Completed!$A$1:$D$221</definedName>
    <definedName name="_xlnm._FilterDatabase" localSheetId="4" hidden="1">Tasks!$A$1:$C$9</definedName>
    <definedName name="Amd">Option!$D$2:$D$12</definedName>
    <definedName name="MAPT">Option!$B$2:$B$12</definedName>
    <definedName name="Rest">Option!$C$2:$C$12</definedName>
    <definedName name="RLT">Option!$A$2:$A$12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A14" i="1" a="1"/>
  <c r="A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<sst xmlns="http://schemas.openxmlformats.org/spreadsheetml/2006/main" count="606" uniqueCount="344">
  <si>
    <t>Type of Trust</t>
  </si>
  <si>
    <t>Trust Version</t>
  </si>
  <si>
    <t>Lastname</t>
  </si>
  <si>
    <t>FirstName and Middlename</t>
  </si>
  <si>
    <t>Trust Name</t>
  </si>
  <si>
    <t>Signing Date</t>
  </si>
  <si>
    <t>File Path</t>
  </si>
  <si>
    <t>Rest</t>
  </si>
  <si>
    <t>5th</t>
  </si>
  <si>
    <t>Mitchell</t>
  </si>
  <si>
    <t>Eleanor L.</t>
  </si>
  <si>
    <t>RLT</t>
  </si>
  <si>
    <t>MAPT</t>
  </si>
  <si>
    <t>Amd</t>
  </si>
  <si>
    <t>Mitchell, Eleanor L.</t>
  </si>
  <si>
    <t>Intake Completed</t>
  </si>
  <si>
    <t>Checklist</t>
  </si>
  <si>
    <t>Status</t>
  </si>
  <si>
    <t>Completed Date</t>
  </si>
  <si>
    <t>done</t>
  </si>
  <si>
    <t>Trust Type</t>
  </si>
  <si>
    <t>Count</t>
  </si>
  <si>
    <t>Grand Total</t>
  </si>
  <si>
    <t>Amendment - Preintake</t>
  </si>
  <si>
    <t>Create signing date in Intake</t>
  </si>
  <si>
    <t>Paste invoice and any unscanned documents in folder</t>
  </si>
  <si>
    <t xml:space="preserve">Update received date </t>
  </si>
  <si>
    <t>Create documents and keep it inside I Drive</t>
  </si>
  <si>
    <r>
      <t xml:space="preserve">Create case along with </t>
    </r>
    <r>
      <rPr>
        <b/>
        <sz val="11"/>
        <color theme="1"/>
        <rFont val="Calibri"/>
        <family val="2"/>
        <scheme val="minor"/>
      </rPr>
      <t>Signing date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Status</t>
    </r>
  </si>
  <si>
    <r>
      <t xml:space="preserve">Create </t>
    </r>
    <r>
      <rPr>
        <b/>
        <sz val="11"/>
        <color theme="1"/>
        <rFont val="Calibri"/>
        <family val="2"/>
        <scheme val="minor"/>
      </rPr>
      <t>Case</t>
    </r>
    <r>
      <rPr>
        <sz val="11"/>
        <color theme="1"/>
        <rFont val="Calibri"/>
        <family val="2"/>
        <scheme val="minor"/>
      </rPr>
      <t xml:space="preserve">, Practice Area and Stage and </t>
    </r>
    <r>
      <rPr>
        <b/>
        <sz val="11"/>
        <color theme="1"/>
        <rFont val="Calibri"/>
        <family val="2"/>
        <scheme val="minor"/>
      </rPr>
      <t>Status</t>
    </r>
  </si>
  <si>
    <t>Update sharepoint link in website field</t>
  </si>
  <si>
    <t>Update sharepoint link in mycase</t>
  </si>
  <si>
    <r>
      <t xml:space="preserve">Dropbox: Request for amd, Recent or original RLT, Recent Amds RLT - </t>
    </r>
    <r>
      <rPr>
        <b/>
        <sz val="11"/>
        <color rgb="FF000000"/>
        <rFont val="Calibri"/>
        <scheme val="minor"/>
      </rPr>
      <t>RRA</t>
    </r>
  </si>
  <si>
    <t>Verfiy Gender, Geography and Living trust date</t>
  </si>
  <si>
    <r>
      <t xml:space="preserve">Dropbox: Consult, Intake previous or original RLT and PDLWT- </t>
    </r>
    <r>
      <rPr>
        <b/>
        <sz val="11"/>
        <color theme="1"/>
        <rFont val="Calibri"/>
        <family val="2"/>
        <scheme val="minor"/>
      </rPr>
      <t>CIR pdLWT</t>
    </r>
  </si>
  <si>
    <t>Verify demographic details with consult form</t>
  </si>
  <si>
    <r>
      <t xml:space="preserve">Misc has - </t>
    </r>
    <r>
      <rPr>
        <b/>
        <sz val="11"/>
        <color rgb="FF000000"/>
        <rFont val="Calibri"/>
        <scheme val="minor"/>
      </rPr>
      <t>Invoice Intake lsa letter</t>
    </r>
  </si>
  <si>
    <t>EPR if MAPT or hardcopy as EPR or Exercise limited power is selected intake</t>
  </si>
  <si>
    <t>Update Airtable for the client details</t>
  </si>
  <si>
    <t>Check for funding documents like deeds</t>
  </si>
  <si>
    <t>MHI for non-ccp</t>
  </si>
  <si>
    <t xml:space="preserve"> </t>
  </si>
  <si>
    <t xml:space="preserve">If PD, check for LWT. </t>
  </si>
  <si>
    <t>Verify demographic details</t>
  </si>
  <si>
    <t>Check for PD details in previous amendment folder and update in airtable</t>
  </si>
  <si>
    <t>Client Name</t>
  </si>
  <si>
    <t>Remarks</t>
  </si>
  <si>
    <t>Anderson, Kellie J.</t>
  </si>
  <si>
    <t>Timothy and Elizabeth Stickney</t>
  </si>
  <si>
    <t>Allison Judith - MAPT</t>
  </si>
  <si>
    <t>Sheila Lynn Aranda</t>
  </si>
  <si>
    <t>Gregory L Stevens</t>
  </si>
  <si>
    <t xml:space="preserve">Alan and Lori Alvarado </t>
  </si>
  <si>
    <t>John and Lori Gilman</t>
  </si>
  <si>
    <t>Hoch, Doreen H.</t>
  </si>
  <si>
    <t>HOCH</t>
  </si>
  <si>
    <t>Maher, Karen L.</t>
  </si>
  <si>
    <t>Grimes, Terry and Rebecca</t>
  </si>
  <si>
    <t>Clark, Jeffrey and Debra</t>
  </si>
  <si>
    <t>Bagby, Roger and Verna</t>
  </si>
  <si>
    <t>KWIATEK, Mark and Elizabeth</t>
  </si>
  <si>
    <t>Hubbard, Corey</t>
  </si>
  <si>
    <t>Durheim, Holly M.</t>
  </si>
  <si>
    <t>Sprecher, Sarah E.</t>
  </si>
  <si>
    <t>Scott and Christina Greene</t>
  </si>
  <si>
    <t>David, Maple E.</t>
  </si>
  <si>
    <t>Brischle, Susan G.</t>
  </si>
  <si>
    <t>Basinger, Edward and Donita</t>
  </si>
  <si>
    <t>St. Clair, Bryan and Karen</t>
  </si>
  <si>
    <t>Foley, Eric and Jennifer</t>
  </si>
  <si>
    <t>Nipert, Richard J.</t>
  </si>
  <si>
    <t>James, Thomas K.</t>
  </si>
  <si>
    <t>Giffin, Michael and Mary Grace</t>
  </si>
  <si>
    <t>Mauseth, Shirley A.</t>
  </si>
  <si>
    <t>Stanley, R Wallace and Nancy A</t>
  </si>
  <si>
    <t>Smith, Matthew and Katherine</t>
  </si>
  <si>
    <t>Strain D. James</t>
  </si>
  <si>
    <t>Phalen, Michael and Marilyn</t>
  </si>
  <si>
    <t>Hunter, James, D</t>
  </si>
  <si>
    <t>Wold, Martin and Patsy</t>
  </si>
  <si>
    <t>Gordon, Roger S.</t>
  </si>
  <si>
    <t>Ahern, Shirley A.</t>
  </si>
  <si>
    <t>Lawrence, Robert and Kristina</t>
  </si>
  <si>
    <t>Ronald and Ceona Chitwood</t>
  </si>
  <si>
    <t>William and Ann-Scott Ettinger</t>
  </si>
  <si>
    <t>Keeker, Susan G.</t>
  </si>
  <si>
    <t>Fosberg, Mark and Karen</t>
  </si>
  <si>
    <t>Truesdell, Thomas R.</t>
  </si>
  <si>
    <t>Schneider, John J.</t>
  </si>
  <si>
    <t>Alan and Carol Davis</t>
  </si>
  <si>
    <t>Tinnesand, William and Deborah</t>
  </si>
  <si>
    <t>Kohne, Karl and Cheryl</t>
  </si>
  <si>
    <t>Borgman, James and Bessie</t>
  </si>
  <si>
    <t>Wilson, Donald and Leslie</t>
  </si>
  <si>
    <t xml:space="preserve">Ross, Kenneth </t>
  </si>
  <si>
    <t>Rash, Henry B.</t>
  </si>
  <si>
    <t>Nelson, Ann Marie</t>
  </si>
  <si>
    <t>Tippery, Pamela D.</t>
  </si>
  <si>
    <t>Benham, John and Mary</t>
  </si>
  <si>
    <t>Manum, Sheryl K</t>
  </si>
  <si>
    <t>Durfee, Michael and Pamela</t>
  </si>
  <si>
    <t>Blount, Robert and Virginia</t>
  </si>
  <si>
    <t>Simonis, Helen I.</t>
  </si>
  <si>
    <t>Kloehn, Gordon and Joanne</t>
  </si>
  <si>
    <t>Bockemohle, Bradley and Karen</t>
  </si>
  <si>
    <t>Dashiell, Fred and Loretta</t>
  </si>
  <si>
    <t>Nullified</t>
  </si>
  <si>
    <t>Lohman, Daniel P.</t>
  </si>
  <si>
    <t>BEP</t>
  </si>
  <si>
    <t>Simmons, Louis and Linda</t>
  </si>
  <si>
    <t>Entel, Carolyn R.</t>
  </si>
  <si>
    <t>Stuart, Carrie</t>
  </si>
  <si>
    <t>Nelson, Ruth E.</t>
  </si>
  <si>
    <t>Bonham, Walter and Kathey</t>
  </si>
  <si>
    <t>Smith, Clayton and Debbie</t>
  </si>
  <si>
    <t>Latta, Patrick and Laryn</t>
  </si>
  <si>
    <t>RACICOT, Maurice and Linda</t>
  </si>
  <si>
    <t>Chatwin, Brian L.</t>
  </si>
  <si>
    <t>Slusser, William and Beth</t>
  </si>
  <si>
    <t>Colter, Anthony and Patti</t>
  </si>
  <si>
    <t>no notes</t>
  </si>
  <si>
    <t xml:space="preserve">Kenneth and Vicky Vlasak </t>
  </si>
  <si>
    <t>Davis, Maynard and Robbin</t>
  </si>
  <si>
    <t>Mussetter, Steve and Colleen</t>
  </si>
  <si>
    <t>added notes</t>
  </si>
  <si>
    <t>Weaver, Bruce and Charlene</t>
  </si>
  <si>
    <t>Pelatti, Rocco and Kathleen</t>
  </si>
  <si>
    <t>Henderson, Michael P.</t>
  </si>
  <si>
    <t>Morrill, Dana and Marie</t>
  </si>
  <si>
    <t>Foss, James and Lisa</t>
  </si>
  <si>
    <t>Loucks, Scott and Colleen</t>
  </si>
  <si>
    <t>Higgins, Sandra C.</t>
  </si>
  <si>
    <t>Lever, Peter and Karen</t>
  </si>
  <si>
    <t>Hayslett, Beth M.</t>
  </si>
  <si>
    <t>DHATT-HONEKAMP, Julie</t>
  </si>
  <si>
    <t>Trottman, Kenneth and Karen</t>
  </si>
  <si>
    <t>Todd, Ernest and Margaret</t>
  </si>
  <si>
    <t>Kydland, Geneva M.</t>
  </si>
  <si>
    <t>May, Mathew and Carol</t>
  </si>
  <si>
    <t>RLT originial not found in archive or anywhere.</t>
  </si>
  <si>
    <t>Gulsvig, Perry and Susan</t>
  </si>
  <si>
    <t>Susan Gulsvig dob in consult : 3-14-1945;  in mycase: 3/14/1947 
Status: Updated mycase according to consult form created in the year: 2010</t>
  </si>
  <si>
    <t>Collins, Michael H.</t>
  </si>
  <si>
    <t>DeVleming, Glenna M.</t>
  </si>
  <si>
    <t>Invoice not generated. Received invoice now</t>
  </si>
  <si>
    <t>Fox, Bonita</t>
  </si>
  <si>
    <t>McKenny, Peter and Carol</t>
  </si>
  <si>
    <t>Original RLT fron non-MLO. Couldn't find. Mail to TRS by client later it seems.</t>
  </si>
  <si>
    <t>Davis, Patricia Monique</t>
  </si>
  <si>
    <t>Ferguson, Robert V.</t>
  </si>
  <si>
    <t>Chambers, Donald and Lorraine</t>
  </si>
  <si>
    <t>Boardman, James and Loretta</t>
  </si>
  <si>
    <t>Hoyez, Janis</t>
  </si>
  <si>
    <t>Hanson, Terry and Carla</t>
  </si>
  <si>
    <t>Mccabe, Bernard and Carolyn</t>
  </si>
  <si>
    <t>MAPT-No nfs ts</t>
  </si>
  <si>
    <t>Schnell , Lynn and Karen</t>
  </si>
  <si>
    <t>No nfs ts</t>
  </si>
  <si>
    <t>Edwards , Thomas and Kristie</t>
  </si>
  <si>
    <t>Lee, Steven G.</t>
  </si>
  <si>
    <t>Miles, Ralph and Dorothy</t>
  </si>
  <si>
    <t>Rosenberg, Marilyn M.</t>
  </si>
  <si>
    <t>cleanup starts from here</t>
  </si>
  <si>
    <t>Jones, J. Gregory and Anne</t>
  </si>
  <si>
    <t>Simpson, B. Ramona</t>
  </si>
  <si>
    <t>no clean up from this client onwards</t>
  </si>
  <si>
    <t>Hodges, Thomas and Shiree</t>
  </si>
  <si>
    <t>no nfs ts</t>
  </si>
  <si>
    <t>Williams, Varnel and Linda</t>
  </si>
  <si>
    <t xml:space="preserve">no nfs ts </t>
  </si>
  <si>
    <t>Stelmak, Julene</t>
  </si>
  <si>
    <t>Milam, Delbert and Sheila</t>
  </si>
  <si>
    <t>Young, George and Christine</t>
  </si>
  <si>
    <t>no signed RLT is present. Peyton: Removed</t>
  </si>
  <si>
    <t>May, Doris C.</t>
  </si>
  <si>
    <t>Lowe, Corrine</t>
  </si>
  <si>
    <t>Birk, Eunice</t>
  </si>
  <si>
    <t>check for PD. Can you please let me know if this is PD amendment (4th Amd-2024)
Observation: I could see trustor decease update in 3rd amendment. But in 4th amendment it is about removing the deceased husband as wife's executor and POA.
Peyton: Removed</t>
  </si>
  <si>
    <t>Schmidli, E'Reani</t>
  </si>
  <si>
    <t>Ballard, Anne R.</t>
  </si>
  <si>
    <t>Gaertner, Richard and Robin</t>
  </si>
  <si>
    <t>Schmoker, Duane S.</t>
  </si>
  <si>
    <t>Jenner, Wilhelm and Leslie</t>
  </si>
  <si>
    <t>Haack, Forrest and Kelly</t>
  </si>
  <si>
    <t>Bass, Richard and Regina</t>
  </si>
  <si>
    <t>Longwell, Ronald and Judith</t>
  </si>
  <si>
    <t>First amendment signature pages only present. no amd trust. this is 2nd amd</t>
  </si>
  <si>
    <t>Shea, Robert and Evelyn</t>
  </si>
  <si>
    <t>Hennige, Gene and Susan</t>
  </si>
  <si>
    <t>Brannon, Alvin F.</t>
  </si>
  <si>
    <t>Jamieson, Douglas and Evelyn</t>
  </si>
  <si>
    <t>Moniz, Patsy L.</t>
  </si>
  <si>
    <t>Miller, David J.</t>
  </si>
  <si>
    <t>James, Jeffry R.</t>
  </si>
  <si>
    <t>Adamek, Wayne and Carol</t>
  </si>
  <si>
    <t>Wild, Jane and Patricia</t>
  </si>
  <si>
    <t>Calderon, Carlos and Evelyn</t>
  </si>
  <si>
    <t>No CCP. Invoice already placed</t>
  </si>
  <si>
    <t>O'Neill, Michael and Ann</t>
  </si>
  <si>
    <t>Bachand, Donald D</t>
  </si>
  <si>
    <t>Cozzens, Steven and Linda</t>
  </si>
  <si>
    <t>consult not found to verify demographic details</t>
  </si>
  <si>
    <t>Hawkins, Ron and Mandy</t>
  </si>
  <si>
    <t>Blythe, Steven and Kathy</t>
  </si>
  <si>
    <t>Franklin, Georgia L.</t>
  </si>
  <si>
    <t>Mark, Frederick and Sandra</t>
  </si>
  <si>
    <t>Van Hout, Henry and Susan</t>
  </si>
  <si>
    <t>Lewis, DeLaine A.</t>
  </si>
  <si>
    <t>Duteau, Julie L.</t>
  </si>
  <si>
    <t>consult not found to verify demographic details. Address is different compare to NFS.</t>
  </si>
  <si>
    <t>Sokoloski, Daniel and Catherina</t>
  </si>
  <si>
    <t>Case- Lockbox name is incorrect</t>
  </si>
  <si>
    <t>Severud, Lowell M.</t>
  </si>
  <si>
    <t>Corboy, Mary E.</t>
  </si>
  <si>
    <t>nullified</t>
  </si>
  <si>
    <t>Davis, Mark and Margeret</t>
  </si>
  <si>
    <t>Check on requirement document. If it goes to Colton? :Peyon: Nullified</t>
  </si>
  <si>
    <t>Gwendolyn and Mackenzie-Michael and Claudia Hamilton</t>
  </si>
  <si>
    <t>PAT</t>
  </si>
  <si>
    <t>Hemingway, Mark and Charlotte</t>
  </si>
  <si>
    <t>Restatement version is changed.Peyton updated the version now.</t>
  </si>
  <si>
    <t>Williams, Gary and Donna</t>
  </si>
  <si>
    <t>Troy, Eugene and Nicholette</t>
  </si>
  <si>
    <t>Trust document not found</t>
  </si>
  <si>
    <t>Iishi, Annie</t>
  </si>
  <si>
    <t>Christopher, Lugenia L.</t>
  </si>
  <si>
    <t>Casey, Gary and Beverly</t>
  </si>
  <si>
    <t>Children issue - Peyton: Lets have mycase as it is. Not to change anything.</t>
  </si>
  <si>
    <t>Fee, Jonathan L.</t>
  </si>
  <si>
    <t>Cravens, Stacey L.</t>
  </si>
  <si>
    <t>Ramirez, Esperanza S.</t>
  </si>
  <si>
    <t>Kennison-Martin, Ty and Dena</t>
  </si>
  <si>
    <t>Weitz Susan</t>
  </si>
  <si>
    <t>Intinarelli, Gregory T.</t>
  </si>
  <si>
    <t>Sempek, David and Nancy</t>
  </si>
  <si>
    <t>Barnes, Debra A.</t>
  </si>
  <si>
    <t>Griese, Glenn and Georgene</t>
  </si>
  <si>
    <t>Paget, James and Leona</t>
  </si>
  <si>
    <t>Bauman, Frances A.</t>
  </si>
  <si>
    <t>Husband deceased-email is present in mycase. Peyton: ignore it</t>
  </si>
  <si>
    <t>Peters, Gary L.</t>
  </si>
  <si>
    <t>Dianne - Peters wife PD LWT not found. Peyton: ignore if exercise is not selected.</t>
  </si>
  <si>
    <t>Anderberg, Gertchen J.</t>
  </si>
  <si>
    <t>Acly</t>
  </si>
  <si>
    <t>O'Connor, Michael P.</t>
  </si>
  <si>
    <t>Huston, Rose A.</t>
  </si>
  <si>
    <t>Temple, Marion E.</t>
  </si>
  <si>
    <t>Sutton, J. Curtis and Jean</t>
  </si>
  <si>
    <t>Evans, Nickolas and Karen</t>
  </si>
  <si>
    <t>Williams Holliday, Delvis and Ilene</t>
  </si>
  <si>
    <t>Rozendal, Mary K.</t>
  </si>
  <si>
    <t>Braun, Robert and Ruth</t>
  </si>
  <si>
    <t>Jones, Mary J.</t>
  </si>
  <si>
    <t>Pierce, Raymond and Sherri</t>
  </si>
  <si>
    <t>McClung, Warren and Teresa</t>
  </si>
  <si>
    <t>Smurthwaite, Dennis and Jane</t>
  </si>
  <si>
    <t>Oien, Jeffrey and Andrea</t>
  </si>
  <si>
    <t>Schnell, Marlene S.</t>
  </si>
  <si>
    <t>No trust document.Peyton: Its go we ll use generic language</t>
  </si>
  <si>
    <t>McGrath, George M.</t>
  </si>
  <si>
    <t>Setter, Janet M.</t>
  </si>
  <si>
    <t>Hazard, Ronald and Amy</t>
  </si>
  <si>
    <t>Lawrence, Thomas and Diane</t>
  </si>
  <si>
    <t>Yet to receive invoice. Received now.</t>
  </si>
  <si>
    <t>Schwab, James W.</t>
  </si>
  <si>
    <t>signed living will is not present. Peyton created one and placed</t>
  </si>
  <si>
    <t>Ferguson, Arnold and Ruth</t>
  </si>
  <si>
    <t>Williams, David and Mina</t>
  </si>
  <si>
    <t>Wiegman, Stephen and Diane</t>
  </si>
  <si>
    <t>Hays, Marjorie G.</t>
  </si>
  <si>
    <t>Wheatley, Melvin P.</t>
  </si>
  <si>
    <t>Bippes, Roger and Joyce</t>
  </si>
  <si>
    <t>BIPPES, Roger and Joyce - no trace of 2nd and 3rd amds. its directly 1st rest and 4th amd (executed). I just created 5th amd folder and completed amd intake. FYI</t>
  </si>
  <si>
    <t>Peterson, Terry A.</t>
  </si>
  <si>
    <t>Pleiman, Gary and Deborah</t>
  </si>
  <si>
    <t>[11:17 AM] Janani Sreenivasan
GEIGER Warren Hartung and Helen - intake for 7th Amd is in progress.
Warren deceased during 5th amd. I couldn't find LWT for Warren. Shall I ignore it and proceed?
Peyton: Reinstated to single</t>
  </si>
  <si>
    <t>Mathews, Jeanne L.</t>
  </si>
  <si>
    <t>Hansen, Kathryn A.</t>
  </si>
  <si>
    <t>Freeland, Roed E.</t>
  </si>
  <si>
    <t>rush</t>
  </si>
  <si>
    <t>Miscoi, Gordon and Barbara</t>
  </si>
  <si>
    <t>Wagner, Kathleen M.</t>
  </si>
  <si>
    <t>Munson, Janet C.</t>
  </si>
  <si>
    <t>Lovlyn, Juanita J.</t>
  </si>
  <si>
    <t>Butner, John D.</t>
  </si>
  <si>
    <t>Lundstrom, Bradley and Susan</t>
  </si>
  <si>
    <t>NFS and TS not found</t>
  </si>
  <si>
    <t>Kwiatek, Mark and Elizabeth</t>
  </si>
  <si>
    <t>Kennedy, Ann M.</t>
  </si>
  <si>
    <t>Karras, Samaa</t>
  </si>
  <si>
    <t>rush-no signing date</t>
  </si>
  <si>
    <t>Collins, Aurora</t>
  </si>
  <si>
    <t>Pearson, Timothy and Lisa</t>
  </si>
  <si>
    <t>Will, Paul and Kelli</t>
  </si>
  <si>
    <t>Weeks, Thomas and Debra</t>
  </si>
  <si>
    <t>Martin, Martha J.</t>
  </si>
  <si>
    <t>Hudec, James and Linda</t>
  </si>
  <si>
    <t>Unruh, John and Barbara</t>
  </si>
  <si>
    <t>Ulliman, Barbara G.</t>
  </si>
  <si>
    <t>Stormfeltz, Jane F.</t>
  </si>
  <si>
    <t>L'Heureux Ruth</t>
  </si>
  <si>
    <t>No LSA, no trust name earlier in mycase, I added it. Kind of strange.</t>
  </si>
  <si>
    <t>Cysewski, Leo and Anne</t>
  </si>
  <si>
    <t>Colwell, Bruce and Susan</t>
  </si>
  <si>
    <t>dummy case present created by craig. Peyton: Delete it</t>
  </si>
  <si>
    <t>Sine, Judy L.</t>
  </si>
  <si>
    <t>Janes, Kenneth and Sandra</t>
  </si>
  <si>
    <t>Cantu, Noelia C.</t>
  </si>
  <si>
    <t>1350$ due. Peyton: Ignore it</t>
  </si>
  <si>
    <t>Weaver, Brandt and Melissa</t>
  </si>
  <si>
    <t>Murphy, Bruce and Maryanne</t>
  </si>
  <si>
    <t>Carpenter, Scott and Verna</t>
  </si>
  <si>
    <t>Placed new intake document in SharePoint. Signing date is yet to be updated (TBU) in dropbox.</t>
  </si>
  <si>
    <t>Funding instructions, id card, deeds, gifts usually goes to RLT instead of Rest - helps doing folder clean up, for more details peyton did cleanup:\FERGUSON, Robert and Louanne</t>
  </si>
  <si>
    <t>FILTER(INDIRECT(A2),A2=$A2)</t>
  </si>
  <si>
    <t>No signature pages. Go to peyton</t>
  </si>
  <si>
    <t>If exercise tax is not selected, no need to update LWT for PD restatement</t>
  </si>
  <si>
    <t>converting amd to restatement: go to unfiltered alphabetical and change the column status to value: converted to restatement</t>
  </si>
  <si>
    <t>If DPA happened other than trust created/amd/restd year, then create DPA folder and place those DPA files inside it.</t>
  </si>
  <si>
    <t xml:space="preserve"> If there is a history of PD, though rest, put it as PD.</t>
  </si>
  <si>
    <t>Areas to work on</t>
  </si>
  <si>
    <t>open form: signer details and contact also can be filled via form instead of updating via rows.</t>
  </si>
  <si>
    <t>Closed</t>
  </si>
  <si>
    <t>Update daily tasks in airtable</t>
  </si>
  <si>
    <t>In-Progress</t>
  </si>
  <si>
    <t>space hyphen clean up in sharepoint</t>
  </si>
  <si>
    <t>Invalid</t>
  </si>
  <si>
    <t>check the time for folder creation in one drive to reflect in desktop via airtable</t>
  </si>
  <si>
    <t>Takes time</t>
  </si>
  <si>
    <t>outlook calendar integration with airtable to update signing date.</t>
  </si>
  <si>
    <t>case creation</t>
  </si>
  <si>
    <t>Copy link of sharepoint and update in mycase "website" field</t>
  </si>
  <si>
    <t>Amendment/Amendments</t>
  </si>
  <si>
    <t>Check hemingway and blount for folder clean up reflection and bauman removed rlt-2000 folder</t>
  </si>
  <si>
    <t>Check elena ping</t>
  </si>
  <si>
    <t>check with peyton, if post death rest occurred, requested for amd, can I ignore PD?</t>
  </si>
  <si>
    <t>It is still PD. If there is a history of PD, though rest, put it as PD.</t>
  </si>
  <si>
    <t>Peyton email</t>
  </si>
  <si>
    <t>Brandon email</t>
  </si>
  <si>
    <t>Bonusly</t>
  </si>
  <si>
    <t>Open</t>
  </si>
  <si>
    <t>C:\Users\jansr\Documents\GERBING, Peyton</t>
  </si>
  <si>
    <t>Mitchell, Eleanor L. - 5th Amendment (2024)</t>
  </si>
  <si>
    <r>
      <t xml:space="preserve">Acknowledgement, invoice, req, Letter by mail, NFS, TS - </t>
    </r>
    <r>
      <rPr>
        <b/>
        <sz val="11"/>
        <color rgb="FF000000"/>
        <rFont val="Calibri"/>
        <scheme val="minor"/>
      </rPr>
      <t>AIR LNT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</si>
</sst>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23232"/>
      <name val="Arial"/>
      <family val="2"/>
    </font>
    <font>
      <b/>
      <sz val="11"/>
      <color rgb="FF000000"/>
      <name val="Calibri"/>
      <scheme val="minor"/>
    </font>
    <font>
      <b/>
      <sz val="11"/>
      <color rgb="FF00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 wrapText="1"/>
    </xf>
    <xf numFmtId="0" fontId="3" fillId="0" borderId="1" xfId="0" applyFont="1" applyBorder="1"/>
    <xf numFmtId="0" fontId="0" fillId="3" borderId="1" xfId="0" applyFill="1" applyBorder="1"/>
    <xf numFmtId="14" fontId="2" fillId="0" borderId="1" xfId="0" applyNumberFormat="1" applyFont="1" applyBorder="1"/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/>
    <xf numFmtId="0" fontId="0" fillId="5" borderId="1" xfId="0" applyFill="1" applyBorder="1"/>
    <xf numFmtId="0" fontId="2" fillId="0" borderId="1" xfId="0" applyFont="1" applyBorder="1" applyAlignment="1">
      <alignment wrapText="1"/>
    </xf>
    <xf numFmtId="0" fontId="2" fillId="6" borderId="1" xfId="0" applyFont="1" applyFill="1" applyBorder="1"/>
    <xf numFmtId="0" fontId="0" fillId="0" borderId="0" xfId="0" applyAlignment="1">
      <alignment horizontal="left"/>
    </xf>
    <xf numFmtId="0" fontId="5" fillId="0" borderId="1" xfId="0" applyFont="1" applyBorder="1"/>
    <xf numFmtId="14" fontId="5" fillId="0" borderId="1" xfId="0" applyNumberFormat="1" applyFont="1" applyBorder="1"/>
    <xf numFmtId="0" fontId="1" fillId="0" borderId="1" xfId="0" applyFont="1" applyBorder="1"/>
    <xf numFmtId="0" fontId="1" fillId="3" borderId="1" xfId="0" applyFont="1" applyFill="1" applyBorder="1"/>
    <xf numFmtId="0" fontId="6" fillId="0" borderId="1" xfId="0" applyFont="1" applyBorder="1"/>
    <xf numFmtId="0" fontId="6" fillId="6" borderId="1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2" fillId="0" borderId="2" xfId="0" applyFont="1" applyBorder="1" applyAlignment="1">
      <alignment wrapText="1"/>
    </xf>
    <xf numFmtId="0" fontId="1" fillId="6" borderId="1" xfId="0" applyFont="1" applyFill="1" applyBorder="1" applyAlignment="1">
      <alignment wrapText="1"/>
    </xf>
    <xf numFmtId="14" fontId="0" fillId="0" borderId="1" xfId="0" applyNumberFormat="1" applyBorder="1" applyAlignment="1">
      <alignment horizontal="left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7" fillId="6" borderId="1" xfId="0" applyFont="1" applyFill="1" applyBorder="1"/>
    <xf numFmtId="0" fontId="8" fillId="6" borderId="1" xfId="0" applyFont="1" applyFill="1" applyBorder="1"/>
    <xf numFmtId="0" fontId="0" fillId="0" borderId="4" xfId="0" applyBorder="1"/>
    <xf numFmtId="0" fontId="9" fillId="0" borderId="1" xfId="0" applyFont="1" applyBorder="1"/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7"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left"/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9</xdr:row>
          <xdr:rowOff>95250</xdr:rowOff>
        </xdr:from>
        <xdr:to>
          <xdr:col>3</xdr:col>
          <xdr:colOff>336550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9</xdr:row>
          <xdr:rowOff>88900</xdr:rowOff>
        </xdr:from>
        <xdr:to>
          <xdr:col>5</xdr:col>
          <xdr:colOff>641350</xdr:colOff>
          <xdr:row>10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ni Sreenivasan" refreshedDate="45345.491489583335" createdVersion="8" refreshedVersion="8" minRefreshableVersion="3" recordCount="250" xr:uid="{E59C470D-F40C-49FD-B761-2CA78096C6B0}">
  <cacheSource type="worksheet">
    <worksheetSource ref="A1:D1048576" sheet="Intake_Completed"/>
  </cacheSource>
  <cacheFields count="6">
    <cacheField name="Client Name" numFmtId="0">
      <sharedItems containsBlank="1"/>
    </cacheField>
    <cacheField name="Trust Type" numFmtId="0">
      <sharedItems containsBlank="1" count="9">
        <m/>
        <s v="MAPT"/>
        <s v="RLT"/>
        <s v="Amd"/>
        <s v="Nullified"/>
        <s v="BEP"/>
        <s v="Rest"/>
        <s v="PAT"/>
        <s v="Acly"/>
      </sharedItems>
    </cacheField>
    <cacheField name="Completed Date" numFmtId="0">
      <sharedItems containsNonDate="0" containsDate="1" containsString="0" containsBlank="1" minDate="2024-01-29T00:00:00" maxDate="2024-02-24T00:00:00" count="19">
        <m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2T00:00:00"/>
        <d v="2024-02-14T00:00:00"/>
        <d v="2024-02-15T00:00:00"/>
        <d v="2024-02-20T00:00:00"/>
        <d v="2024-02-21T00:00:00"/>
        <d v="2024-02-22T00:00:00"/>
        <d v="2024-02-23T00:00:00"/>
        <d v="2024-02-10T00:00:00" u="1"/>
      </sharedItems>
      <fieldGroup par="5"/>
    </cacheField>
    <cacheField name="Remarks" numFmtId="0">
      <sharedItems containsBlank="1"/>
    </cacheField>
    <cacheField name="Days (Completed Date)" numFmtId="0" databaseField="0">
      <fieldGroup base="2">
        <rangePr groupBy="days" startDate="2024-01-29T00:00:00" endDate="2024-02-24T00:00:00"/>
        <groupItems count="368">
          <s v="&lt;1/29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4/2024"/>
        </groupItems>
      </fieldGroup>
    </cacheField>
    <cacheField name="Months (Completed Date)" numFmtId="0" databaseField="0">
      <fieldGroup base="2">
        <rangePr groupBy="months" startDate="2024-01-29T00:00:00" endDate="2024-02-24T00:00:00"/>
        <groupItems count="14">
          <s v="&lt;1/2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4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Anderson, Kellie J."/>
    <x v="0"/>
    <x v="0"/>
    <m/>
  </r>
  <r>
    <s v="Timothy and Elizabeth Stickney"/>
    <x v="0"/>
    <x v="0"/>
    <m/>
  </r>
  <r>
    <s v="Allison Judith - MAPT"/>
    <x v="1"/>
    <x v="0"/>
    <m/>
  </r>
  <r>
    <s v="Sheila Lynn Aranda"/>
    <x v="0"/>
    <x v="0"/>
    <m/>
  </r>
  <r>
    <s v="Gregory L Stevens"/>
    <x v="0"/>
    <x v="0"/>
    <m/>
  </r>
  <r>
    <s v="Alan and Lori Alvarado "/>
    <x v="0"/>
    <x v="0"/>
    <m/>
  </r>
  <r>
    <s v="John and Lori Gilman"/>
    <x v="0"/>
    <x v="0"/>
    <m/>
  </r>
  <r>
    <s v="Hoch, Doreen H."/>
    <x v="0"/>
    <x v="0"/>
    <m/>
  </r>
  <r>
    <s v="HOCH"/>
    <x v="0"/>
    <x v="0"/>
    <m/>
  </r>
  <r>
    <s v="Maher, Karen L."/>
    <x v="0"/>
    <x v="0"/>
    <m/>
  </r>
  <r>
    <s v="Grimes, Terry and Rebecca"/>
    <x v="0"/>
    <x v="0"/>
    <m/>
  </r>
  <r>
    <s v="Clark, Jeffrey and Debra"/>
    <x v="0"/>
    <x v="0"/>
    <m/>
  </r>
  <r>
    <s v="Bagby, Roger and Verna"/>
    <x v="0"/>
    <x v="0"/>
    <m/>
  </r>
  <r>
    <s v="KWIATEK, Mark and Elizabeth"/>
    <x v="0"/>
    <x v="0"/>
    <m/>
  </r>
  <r>
    <s v="Hubbard, Corey"/>
    <x v="0"/>
    <x v="0"/>
    <m/>
  </r>
  <r>
    <s v="Durheim, Holly M."/>
    <x v="0"/>
    <x v="0"/>
    <m/>
  </r>
  <r>
    <s v="Sprecher, Sarah E."/>
    <x v="0"/>
    <x v="0"/>
    <m/>
  </r>
  <r>
    <s v="Scott and Christina Greene"/>
    <x v="0"/>
    <x v="0"/>
    <m/>
  </r>
  <r>
    <s v="David, Maple E."/>
    <x v="0"/>
    <x v="0"/>
    <m/>
  </r>
  <r>
    <s v="Brischle, Susan G."/>
    <x v="0"/>
    <x v="0"/>
    <m/>
  </r>
  <r>
    <s v="Basinger, Edward and Donita"/>
    <x v="0"/>
    <x v="0"/>
    <m/>
  </r>
  <r>
    <s v="St. Clair, Bryan and Karen"/>
    <x v="0"/>
    <x v="0"/>
    <m/>
  </r>
  <r>
    <s v="Foley, Eric and Jennifer"/>
    <x v="0"/>
    <x v="0"/>
    <m/>
  </r>
  <r>
    <s v="Nipert, Richard J."/>
    <x v="0"/>
    <x v="0"/>
    <m/>
  </r>
  <r>
    <s v="James, Thomas K."/>
    <x v="0"/>
    <x v="0"/>
    <m/>
  </r>
  <r>
    <s v="Giffin, Michael and Mary Grace"/>
    <x v="0"/>
    <x v="0"/>
    <m/>
  </r>
  <r>
    <s v="Mauseth, Shirley A."/>
    <x v="0"/>
    <x v="0"/>
    <m/>
  </r>
  <r>
    <s v="Stanley, R Wallace and Nancy A"/>
    <x v="0"/>
    <x v="0"/>
    <m/>
  </r>
  <r>
    <s v="Smith, Matthew and Katherine"/>
    <x v="0"/>
    <x v="0"/>
    <m/>
  </r>
  <r>
    <s v="Strain D. James"/>
    <x v="0"/>
    <x v="0"/>
    <m/>
  </r>
  <r>
    <s v="Phalen, Michael and Marilyn"/>
    <x v="0"/>
    <x v="0"/>
    <m/>
  </r>
  <r>
    <s v="Hunter, James, D"/>
    <x v="0"/>
    <x v="0"/>
    <m/>
  </r>
  <r>
    <s v="Wold, Martin and Patsy"/>
    <x v="0"/>
    <x v="0"/>
    <m/>
  </r>
  <r>
    <s v="Gordon, Roger S."/>
    <x v="0"/>
    <x v="0"/>
    <m/>
  </r>
  <r>
    <s v="Ahern, Shirley A."/>
    <x v="0"/>
    <x v="0"/>
    <m/>
  </r>
  <r>
    <s v="Lawrence, Robert and Kristina"/>
    <x v="0"/>
    <x v="0"/>
    <m/>
  </r>
  <r>
    <s v="Ronald and Ceona Chitwood"/>
    <x v="0"/>
    <x v="0"/>
    <m/>
  </r>
  <r>
    <s v="William and Ann-Scott Ettinger"/>
    <x v="0"/>
    <x v="0"/>
    <m/>
  </r>
  <r>
    <s v="Keeker, Susan G."/>
    <x v="0"/>
    <x v="0"/>
    <m/>
  </r>
  <r>
    <s v="Fosberg, Mark and Karen"/>
    <x v="0"/>
    <x v="0"/>
    <m/>
  </r>
  <r>
    <s v="Truesdell, Thomas R."/>
    <x v="0"/>
    <x v="0"/>
    <m/>
  </r>
  <r>
    <s v="Schneider, John J."/>
    <x v="0"/>
    <x v="0"/>
    <m/>
  </r>
  <r>
    <s v="Alan and Carol Davis"/>
    <x v="0"/>
    <x v="0"/>
    <m/>
  </r>
  <r>
    <s v="Tinnesand, William and Deborah"/>
    <x v="0"/>
    <x v="0"/>
    <m/>
  </r>
  <r>
    <s v="Kohne, Karl and Cheryl"/>
    <x v="0"/>
    <x v="0"/>
    <m/>
  </r>
  <r>
    <s v="Borgman, James and Bessie"/>
    <x v="0"/>
    <x v="0"/>
    <m/>
  </r>
  <r>
    <s v="Wilson, Donald and Leslie"/>
    <x v="0"/>
    <x v="0"/>
    <m/>
  </r>
  <r>
    <s v="Ross, Kenneth "/>
    <x v="0"/>
    <x v="0"/>
    <m/>
  </r>
  <r>
    <s v="Rash, Henry B."/>
    <x v="0"/>
    <x v="0"/>
    <m/>
  </r>
  <r>
    <s v="Nelson, Ann Marie"/>
    <x v="0"/>
    <x v="0"/>
    <m/>
  </r>
  <r>
    <s v="Tippery, Pamela D."/>
    <x v="0"/>
    <x v="0"/>
    <m/>
  </r>
  <r>
    <s v="Benham, John and Mary"/>
    <x v="2"/>
    <x v="1"/>
    <m/>
  </r>
  <r>
    <s v="Manum, Sheryl K"/>
    <x v="2"/>
    <x v="1"/>
    <m/>
  </r>
  <r>
    <s v="Durfee, Michael and Pamela"/>
    <x v="3"/>
    <x v="2"/>
    <m/>
  </r>
  <r>
    <s v="Blount, Robert and Virginia"/>
    <x v="3"/>
    <x v="2"/>
    <m/>
  </r>
  <r>
    <s v="Simonis, Helen I."/>
    <x v="3"/>
    <x v="2"/>
    <m/>
  </r>
  <r>
    <s v="Kloehn, Gordon and Joanne"/>
    <x v="3"/>
    <x v="2"/>
    <m/>
  </r>
  <r>
    <s v="Bockemohle, Bradley and Karen"/>
    <x v="3"/>
    <x v="2"/>
    <m/>
  </r>
  <r>
    <s v="Dashiell, Fred and Loretta"/>
    <x v="4"/>
    <x v="2"/>
    <m/>
  </r>
  <r>
    <s v="Lohman, Daniel P."/>
    <x v="5"/>
    <x v="2"/>
    <m/>
  </r>
  <r>
    <s v="Simmons, Louis and Linda"/>
    <x v="3"/>
    <x v="3"/>
    <m/>
  </r>
  <r>
    <s v="Entel, Carolyn R."/>
    <x v="3"/>
    <x v="3"/>
    <m/>
  </r>
  <r>
    <s v="Stuart, Carrie"/>
    <x v="3"/>
    <x v="3"/>
    <m/>
  </r>
  <r>
    <s v="Nelson, Ruth E."/>
    <x v="3"/>
    <x v="3"/>
    <m/>
  </r>
  <r>
    <s v="Bonham, Walter and Kathey"/>
    <x v="3"/>
    <x v="3"/>
    <m/>
  </r>
  <r>
    <s v="Smith, Clayton and Debbie"/>
    <x v="2"/>
    <x v="3"/>
    <m/>
  </r>
  <r>
    <s v="Latta, Patrick and Laryn"/>
    <x v="2"/>
    <x v="3"/>
    <m/>
  </r>
  <r>
    <s v="RACICOT, Maurice and Linda"/>
    <x v="2"/>
    <x v="3"/>
    <m/>
  </r>
  <r>
    <s v="Chatwin, Brian L."/>
    <x v="2"/>
    <x v="3"/>
    <m/>
  </r>
  <r>
    <s v="Slusser, William and Beth"/>
    <x v="2"/>
    <x v="3"/>
    <m/>
  </r>
  <r>
    <s v="Colter, Anthony and Patti"/>
    <x v="2"/>
    <x v="4"/>
    <s v="no notes"/>
  </r>
  <r>
    <s v="Kenneth and Vicky Vlasak "/>
    <x v="2"/>
    <x v="4"/>
    <s v="no notes"/>
  </r>
  <r>
    <s v="Davis, Maynard and Robbin"/>
    <x v="2"/>
    <x v="4"/>
    <s v="no notes"/>
  </r>
  <r>
    <s v="Mussetter, Steve and Colleen"/>
    <x v="2"/>
    <x v="4"/>
    <s v="added notes"/>
  </r>
  <r>
    <s v="Weaver, Bruce and Charlene"/>
    <x v="6"/>
    <x v="4"/>
    <s v="no notes"/>
  </r>
  <r>
    <s v="Pelatti, Rocco and Kathleen"/>
    <x v="2"/>
    <x v="4"/>
    <s v="no notes"/>
  </r>
  <r>
    <s v="Henderson, Michael P."/>
    <x v="2"/>
    <x v="4"/>
    <s v="added notes"/>
  </r>
  <r>
    <s v="Morrill, Dana and Marie"/>
    <x v="2"/>
    <x v="4"/>
    <s v="no notes"/>
  </r>
  <r>
    <s v="Foss, James and Lisa"/>
    <x v="2"/>
    <x v="4"/>
    <s v="no notes"/>
  </r>
  <r>
    <s v="Loucks, Scott and Colleen"/>
    <x v="2"/>
    <x v="4"/>
    <s v="no notes"/>
  </r>
  <r>
    <s v="Higgins, Sandra C."/>
    <x v="2"/>
    <x v="4"/>
    <s v="added notes"/>
  </r>
  <r>
    <s v="Lever, Peter and Karen"/>
    <x v="6"/>
    <x v="4"/>
    <s v="added notes"/>
  </r>
  <r>
    <s v="Hayslett, Beth M."/>
    <x v="6"/>
    <x v="5"/>
    <m/>
  </r>
  <r>
    <s v="DHATT-HONEKAMP, Julie"/>
    <x v="6"/>
    <x v="5"/>
    <m/>
  </r>
  <r>
    <s v="Trottman, Kenneth and Karen"/>
    <x v="6"/>
    <x v="5"/>
    <m/>
  </r>
  <r>
    <s v="Todd, Ernest and Margaret"/>
    <x v="6"/>
    <x v="5"/>
    <m/>
  </r>
  <r>
    <s v="Higgins, Sandra C."/>
    <x v="6"/>
    <x v="5"/>
    <m/>
  </r>
  <r>
    <s v="Kydland, Geneva M."/>
    <x v="6"/>
    <x v="6"/>
    <m/>
  </r>
  <r>
    <s v="May, Mathew and Carol"/>
    <x v="6"/>
    <x v="6"/>
    <s v="RLT originial not found in archive or anywhere."/>
  </r>
  <r>
    <s v="Gulsvig, Perry and Susan"/>
    <x v="6"/>
    <x v="6"/>
    <s v="Susan Gulsvig dob in consult : 3-14-1945;  in mycase: 3/14/1947 _x000a_Status: Updated mycase according to consult form created in the year: 2010"/>
  </r>
  <r>
    <s v="Collins, Michael H."/>
    <x v="6"/>
    <x v="6"/>
    <m/>
  </r>
  <r>
    <s v="DeVleming, Glenna M."/>
    <x v="6"/>
    <x v="6"/>
    <s v="Invoice not generated. Received invoice now"/>
  </r>
  <r>
    <s v="Fox, Bonita"/>
    <x v="6"/>
    <x v="6"/>
    <m/>
  </r>
  <r>
    <s v="McKenny, Peter and Carol"/>
    <x v="6"/>
    <x v="6"/>
    <s v="Original RLT fron non-MLO. Couldn't find. Mail to TRS by client later it seems."/>
  </r>
  <r>
    <s v="Davis, Patricia Monique"/>
    <x v="6"/>
    <x v="6"/>
    <m/>
  </r>
  <r>
    <s v="Ferguson, Robert V."/>
    <x v="6"/>
    <x v="6"/>
    <m/>
  </r>
  <r>
    <s v="Chambers, Donald and Lorraine"/>
    <x v="2"/>
    <x v="6"/>
    <m/>
  </r>
  <r>
    <s v="Boardman, James and Loretta"/>
    <x v="2"/>
    <x v="6"/>
    <m/>
  </r>
  <r>
    <s v="Hoyez, Janis"/>
    <x v="3"/>
    <x v="6"/>
    <m/>
  </r>
  <r>
    <s v="Hanson, Terry and Carla"/>
    <x v="3"/>
    <x v="7"/>
    <m/>
  </r>
  <r>
    <s v="Mccabe, Bernard and Carolyn"/>
    <x v="3"/>
    <x v="7"/>
    <s v="MAPT-No nfs ts"/>
  </r>
  <r>
    <s v="Schnell , Lynn and Karen"/>
    <x v="3"/>
    <x v="7"/>
    <s v="No nfs ts"/>
  </r>
  <r>
    <s v="Edwards , Thomas and Kristie"/>
    <x v="3"/>
    <x v="7"/>
    <m/>
  </r>
  <r>
    <s v="Lee, Steven G."/>
    <x v="3"/>
    <x v="7"/>
    <m/>
  </r>
  <r>
    <s v="Miles, Ralph and Dorothy"/>
    <x v="3"/>
    <x v="7"/>
    <s v="MAPT"/>
  </r>
  <r>
    <s v="Rosenberg, Marilyn M."/>
    <x v="3"/>
    <x v="7"/>
    <s v="cleanup starts from here"/>
  </r>
  <r>
    <s v="Jones, J. Gregory and Anne"/>
    <x v="3"/>
    <x v="7"/>
    <m/>
  </r>
  <r>
    <s v="Simpson, B. Ramona"/>
    <x v="3"/>
    <x v="7"/>
    <s v="no clean up from this client onwards"/>
  </r>
  <r>
    <s v="Hodges, Thomas and Shiree"/>
    <x v="3"/>
    <x v="8"/>
    <s v="No nfs ts"/>
  </r>
  <r>
    <s v="Williams, Varnel and Linda"/>
    <x v="3"/>
    <x v="8"/>
    <s v="no nfs ts "/>
  </r>
  <r>
    <s v="Stelmak, Julene"/>
    <x v="3"/>
    <x v="8"/>
    <m/>
  </r>
  <r>
    <s v="Milam, Delbert and Sheila"/>
    <x v="3"/>
    <x v="8"/>
    <m/>
  </r>
  <r>
    <s v="Young, George and Christine"/>
    <x v="3"/>
    <x v="8"/>
    <s v="no signed RLT is present. Peyton: Removed"/>
  </r>
  <r>
    <s v="May, Doris C."/>
    <x v="3"/>
    <x v="8"/>
    <s v="MAPT"/>
  </r>
  <r>
    <s v="Lowe, Corrine"/>
    <x v="3"/>
    <x v="8"/>
    <m/>
  </r>
  <r>
    <s v="Birk, Eunice"/>
    <x v="3"/>
    <x v="8"/>
    <s v="check for PD. Can you please let me know if this is PD amendment (4th Amd-2024)_x000a_Observation: I could see trustor decease update in 3rd amendment. But in 4th amendment it is about removing the deceased husband as wife's executor and POA._x000a__x000a_Peyton: Removed"/>
  </r>
  <r>
    <s v="Schmidli, E'Reani"/>
    <x v="3"/>
    <x v="8"/>
    <m/>
  </r>
  <r>
    <s v="Ballard, Anne R."/>
    <x v="3"/>
    <x v="8"/>
    <m/>
  </r>
  <r>
    <s v="Gaertner, Richard and Robin"/>
    <x v="3"/>
    <x v="9"/>
    <s v="No nfs ts"/>
  </r>
  <r>
    <s v="Schmoker, Duane S."/>
    <x v="6"/>
    <x v="9"/>
    <m/>
  </r>
  <r>
    <s v="Jenner, Wilhelm and Leslie"/>
    <x v="2"/>
    <x v="9"/>
    <m/>
  </r>
  <r>
    <s v="Haack, Forrest and Kelly"/>
    <x v="2"/>
    <x v="9"/>
    <m/>
  </r>
  <r>
    <s v="Bass, Richard and Regina"/>
    <x v="2"/>
    <x v="9"/>
    <m/>
  </r>
  <r>
    <s v="Longwell, Ronald and Judith"/>
    <x v="6"/>
    <x v="9"/>
    <s v="First amendment signature pages only present. no amd trust. this is 2nd amd"/>
  </r>
  <r>
    <s v="Shea, Robert and Evelyn"/>
    <x v="6"/>
    <x v="9"/>
    <m/>
  </r>
  <r>
    <s v="Hennige, Gene and Susan"/>
    <x v="3"/>
    <x v="9"/>
    <m/>
  </r>
  <r>
    <s v="Brannon, Alvin F."/>
    <x v="3"/>
    <x v="10"/>
    <s v="No nfs ts"/>
  </r>
  <r>
    <s v="Jamieson, Douglas and Evelyn"/>
    <x v="3"/>
    <x v="10"/>
    <m/>
  </r>
  <r>
    <s v="Moniz, Patsy L."/>
    <x v="2"/>
    <x v="10"/>
    <m/>
  </r>
  <r>
    <s v="Miller, David J."/>
    <x v="3"/>
    <x v="10"/>
    <m/>
  </r>
  <r>
    <s v="James, Jeffry R."/>
    <x v="3"/>
    <x v="10"/>
    <m/>
  </r>
  <r>
    <s v="Adamek, Wayne and Carol"/>
    <x v="3"/>
    <x v="10"/>
    <s v="No nfs ts"/>
  </r>
  <r>
    <s v="Wild, Jane and Patricia"/>
    <x v="3"/>
    <x v="10"/>
    <m/>
  </r>
  <r>
    <s v="Calderon, Carlos and Evelyn"/>
    <x v="3"/>
    <x v="11"/>
    <s v="No CCP. Invoice already placed"/>
  </r>
  <r>
    <s v="O'Neill, Michael and Ann"/>
    <x v="3"/>
    <x v="11"/>
    <m/>
  </r>
  <r>
    <s v="Bachand, Donald D"/>
    <x v="3"/>
    <x v="11"/>
    <m/>
  </r>
  <r>
    <s v="Cozzens, Steven and Linda"/>
    <x v="3"/>
    <x v="11"/>
    <s v="consult not found to verify demographic details"/>
  </r>
  <r>
    <s v="Hawkins, Ron and Mandy"/>
    <x v="3"/>
    <x v="11"/>
    <m/>
  </r>
  <r>
    <s v="Blythe, Steven and Kathy"/>
    <x v="3"/>
    <x v="11"/>
    <m/>
  </r>
  <r>
    <s v="Franklin, Georgia L."/>
    <x v="3"/>
    <x v="11"/>
    <m/>
  </r>
  <r>
    <s v="Mark, Frederick and Sandra"/>
    <x v="3"/>
    <x v="11"/>
    <m/>
  </r>
  <r>
    <s v="Van Hout, Henry and Susan"/>
    <x v="3"/>
    <x v="11"/>
    <s v="consult not found to verify demographic details"/>
  </r>
  <r>
    <s v="Lewis, DeLaine A."/>
    <x v="3"/>
    <x v="11"/>
    <m/>
  </r>
  <r>
    <s v="Duteau, Julie L."/>
    <x v="3"/>
    <x v="11"/>
    <s v="consult not found to verify demographic details. Address is different compare to NFS."/>
  </r>
  <r>
    <s v="Sokoloski, Daniel and Catherina"/>
    <x v="3"/>
    <x v="11"/>
    <s v="Case- Lockbox name is incorrect"/>
  </r>
  <r>
    <s v="Severud, Lowell M."/>
    <x v="3"/>
    <x v="11"/>
    <m/>
  </r>
  <r>
    <s v="Corboy, Mary E."/>
    <x v="3"/>
    <x v="11"/>
    <s v="nullified"/>
  </r>
  <r>
    <s v="Davis, Mark and Margeret"/>
    <x v="3"/>
    <x v="11"/>
    <s v="Check on requirement document. If it goes to Colton? :Peyon: Nullified"/>
  </r>
  <r>
    <s v="Gwendolyn and Mackenzie-Michael and Claudia Hamilton"/>
    <x v="7"/>
    <x v="12"/>
    <m/>
  </r>
  <r>
    <s v="Hemingway, Mark and Charlotte"/>
    <x v="6"/>
    <x v="12"/>
    <s v="Restatement version is changed.Peyton updated the version now."/>
  </r>
  <r>
    <s v="Williams, Gary and Donna"/>
    <x v="2"/>
    <x v="12"/>
    <m/>
  </r>
  <r>
    <s v="Troy, Eugene and Nicholette"/>
    <x v="6"/>
    <x v="12"/>
    <s v="Trust document not found"/>
  </r>
  <r>
    <s v="Iishi, Annie"/>
    <x v="6"/>
    <x v="12"/>
    <m/>
  </r>
  <r>
    <s v="Christopher, Lugenia L."/>
    <x v="6"/>
    <x v="12"/>
    <m/>
  </r>
  <r>
    <s v="Casey, Gary and Beverly"/>
    <x v="2"/>
    <x v="12"/>
    <s v="Children issue - Peyton: Lets have mycase as it is. Not to change anything."/>
  </r>
  <r>
    <s v="Fee, Jonathan L."/>
    <x v="2"/>
    <x v="12"/>
    <m/>
  </r>
  <r>
    <s v="Cravens, Stacey L."/>
    <x v="2"/>
    <x v="12"/>
    <m/>
  </r>
  <r>
    <s v="Ramirez, Esperanza S."/>
    <x v="1"/>
    <x v="12"/>
    <m/>
  </r>
  <r>
    <s v="Kennison-Martin, Ty and Dena"/>
    <x v="2"/>
    <x v="12"/>
    <m/>
  </r>
  <r>
    <s v="Weitz Susan"/>
    <x v="2"/>
    <x v="12"/>
    <m/>
  </r>
  <r>
    <s v="Intinarelli, Gregory T."/>
    <x v="2"/>
    <x v="12"/>
    <m/>
  </r>
  <r>
    <s v="Sempek, David and Nancy"/>
    <x v="2"/>
    <x v="13"/>
    <m/>
  </r>
  <r>
    <s v="Barnes, Debra A."/>
    <x v="1"/>
    <x v="13"/>
    <m/>
  </r>
  <r>
    <s v="Blount, Robert and Virginia"/>
    <x v="6"/>
    <x v="13"/>
    <m/>
  </r>
  <r>
    <s v="Griese, Glenn and Georgene"/>
    <x v="2"/>
    <x v="13"/>
    <m/>
  </r>
  <r>
    <s v="Paget, James and Leona"/>
    <x v="1"/>
    <x v="13"/>
    <m/>
  </r>
  <r>
    <s v="Bauman, Frances A."/>
    <x v="6"/>
    <x v="13"/>
    <s v="Husband deceased-email is present in mycase. Peyton: ignore it"/>
  </r>
  <r>
    <s v="Peters, Gary L."/>
    <x v="6"/>
    <x v="13"/>
    <s v="Dianne - Peters wife PD LWT not found. Peyton: ignore if exercise is not selected."/>
  </r>
  <r>
    <s v="Anderberg, Gertchen J."/>
    <x v="8"/>
    <x v="13"/>
    <m/>
  </r>
  <r>
    <s v="O'Connor, Michael P."/>
    <x v="2"/>
    <x v="13"/>
    <m/>
  </r>
  <r>
    <s v="Huston, Rose A."/>
    <x v="1"/>
    <x v="13"/>
    <m/>
  </r>
  <r>
    <s v="Temple, Marion E."/>
    <x v="2"/>
    <x v="13"/>
    <m/>
  </r>
  <r>
    <s v="Sutton, J. Curtis and Jean"/>
    <x v="2"/>
    <x v="13"/>
    <m/>
  </r>
  <r>
    <s v="Evans, Nickolas and Karen"/>
    <x v="2"/>
    <x v="13"/>
    <m/>
  </r>
  <r>
    <s v="Williams Holliday, Delvis and Ilene"/>
    <x v="2"/>
    <x v="13"/>
    <m/>
  </r>
  <r>
    <s v="Simmons, Louis and Linda"/>
    <x v="6"/>
    <x v="13"/>
    <m/>
  </r>
  <r>
    <s v="Rozendal, Mary K."/>
    <x v="6"/>
    <x v="13"/>
    <m/>
  </r>
  <r>
    <s v="Braun, Robert and Ruth"/>
    <x v="2"/>
    <x v="14"/>
    <m/>
  </r>
  <r>
    <s v="Jones, Mary J."/>
    <x v="6"/>
    <x v="14"/>
    <m/>
  </r>
  <r>
    <s v="Pierce, Raymond and Sherri"/>
    <x v="2"/>
    <x v="14"/>
    <m/>
  </r>
  <r>
    <s v="McClung, Warren and Teresa"/>
    <x v="2"/>
    <x v="14"/>
    <m/>
  </r>
  <r>
    <s v="Smurthwaite, Dennis and Jane"/>
    <x v="2"/>
    <x v="14"/>
    <m/>
  </r>
  <r>
    <s v="Oien, Jeffrey and Andrea"/>
    <x v="5"/>
    <x v="14"/>
    <m/>
  </r>
  <r>
    <s v="Schnell, Marlene S."/>
    <x v="6"/>
    <x v="14"/>
    <s v="No trust document.Peyton: Its go we ll use generic language"/>
  </r>
  <r>
    <s v="McGrath, George M."/>
    <x v="6"/>
    <x v="14"/>
    <m/>
  </r>
  <r>
    <s v="Setter, Janet M."/>
    <x v="6"/>
    <x v="14"/>
    <m/>
  </r>
  <r>
    <s v="Hazard, Ronald and Amy"/>
    <x v="6"/>
    <x v="14"/>
    <m/>
  </r>
  <r>
    <s v="Lawrence, Thomas and Diane"/>
    <x v="3"/>
    <x v="14"/>
    <s v="Yet to receive invoice. Received now."/>
  </r>
  <r>
    <s v="Schwab, James W."/>
    <x v="3"/>
    <x v="14"/>
    <s v="signed living will is not present. Peyton created one and placed"/>
  </r>
  <r>
    <s v="Ferguson, Arnold and Ruth"/>
    <x v="3"/>
    <x v="14"/>
    <m/>
  </r>
  <r>
    <s v="Williams, David and Mina"/>
    <x v="3"/>
    <x v="14"/>
    <m/>
  </r>
  <r>
    <s v="Wiegman, Stephen and Diane"/>
    <x v="3"/>
    <x v="14"/>
    <m/>
  </r>
  <r>
    <s v="Hays, Marjorie G."/>
    <x v="3"/>
    <x v="14"/>
    <m/>
  </r>
  <r>
    <s v="Wheatley, Melvin P."/>
    <x v="3"/>
    <x v="15"/>
    <m/>
  </r>
  <r>
    <s v="Bippes, Roger and Joyce"/>
    <x v="3"/>
    <x v="15"/>
    <s v="BIPPES, Roger and Joyce - no trace of 2nd and 3rd amds. its directly 1st rest and 4th amd (executed). I just created 5th amd folder and completed amd intake. FYI"/>
  </r>
  <r>
    <s v="Peterson, Terry A."/>
    <x v="6"/>
    <x v="15"/>
    <s v="MAPT"/>
  </r>
  <r>
    <s v="Pleiman, Gary and Deborah"/>
    <x v="2"/>
    <x v="16"/>
    <s v="[11:17 AM] Janani Sreenivasan_x000a_GEIGER Warren Hartung and Helen - intake for 7th Amd is in progress._x000a_Warren deceased during 5th amd. I couldn't find LWT for Warren. Shall I ignore it and proceed?_x000a_Peyton: Reinstated to single"/>
  </r>
  <r>
    <s v="Mathews, Jeanne L."/>
    <x v="3"/>
    <x v="15"/>
    <m/>
  </r>
  <r>
    <s v="Mathews, Jeanne L."/>
    <x v="3"/>
    <x v="15"/>
    <m/>
  </r>
  <r>
    <s v="Hansen, Kathryn A."/>
    <x v="3"/>
    <x v="15"/>
    <m/>
  </r>
  <r>
    <s v="Freeland, Roed E."/>
    <x v="3"/>
    <x v="15"/>
    <s v="rush"/>
  </r>
  <r>
    <s v="Miscoi, Gordon and Barbara"/>
    <x v="3"/>
    <x v="15"/>
    <m/>
  </r>
  <r>
    <s v="Wagner, Kathleen M."/>
    <x v="3"/>
    <x v="15"/>
    <m/>
  </r>
  <r>
    <s v="Munson, Janet C."/>
    <x v="3"/>
    <x v="15"/>
    <m/>
  </r>
  <r>
    <s v="Lovlyn, Juanita J."/>
    <x v="3"/>
    <x v="15"/>
    <m/>
  </r>
  <r>
    <s v="Butner, John D."/>
    <x v="3"/>
    <x v="15"/>
    <m/>
  </r>
  <r>
    <s v="Lundstrom, Bradley and Susan"/>
    <x v="3"/>
    <x v="15"/>
    <m/>
  </r>
  <r>
    <s v="Anderson, Kellie J."/>
    <x v="3"/>
    <x v="15"/>
    <s v="NFS and TS not found"/>
  </r>
  <r>
    <s v="Kwiatek, Mark and Elizabeth"/>
    <x v="3"/>
    <x v="15"/>
    <m/>
  </r>
  <r>
    <s v="Kennedy, Ann M."/>
    <x v="3"/>
    <x v="16"/>
    <m/>
  </r>
  <r>
    <s v="Karras, Samaa"/>
    <x v="2"/>
    <x v="16"/>
    <s v="rush-no signing date"/>
  </r>
  <r>
    <s v="Collins, Aurora"/>
    <x v="3"/>
    <x v="16"/>
    <m/>
  </r>
  <r>
    <s v="Pearson, Timothy and Lisa"/>
    <x v="2"/>
    <x v="16"/>
    <m/>
  </r>
  <r>
    <s v="Will, Paul and Kelli"/>
    <x v="2"/>
    <x v="16"/>
    <m/>
  </r>
  <r>
    <s v="Weeks, Thomas and Debra"/>
    <x v="2"/>
    <x v="16"/>
    <m/>
  </r>
  <r>
    <s v="Martin, Martha J."/>
    <x v="6"/>
    <x v="16"/>
    <m/>
  </r>
  <r>
    <s v="Hudec, James and Linda"/>
    <x v="6"/>
    <x v="16"/>
    <m/>
  </r>
  <r>
    <s v="Unruh, John and Barbara"/>
    <x v="6"/>
    <x v="16"/>
    <m/>
  </r>
  <r>
    <s v="Ulliman, Barbara G."/>
    <x v="6"/>
    <x v="16"/>
    <m/>
  </r>
  <r>
    <s v="Stormfeltz, Jane F."/>
    <x v="6"/>
    <x v="16"/>
    <m/>
  </r>
  <r>
    <s v="L'Heureux Ruth"/>
    <x v="2"/>
    <x v="16"/>
    <m/>
  </r>
  <r>
    <s v="Pleiman, Gary and Deborah"/>
    <x v="2"/>
    <x v="16"/>
    <s v="No LSA, no trust name earlier in mycase, I added it. Kind of strange."/>
  </r>
  <r>
    <s v="Cysewski, Leo and Anne"/>
    <x v="3"/>
    <x v="16"/>
    <m/>
  </r>
  <r>
    <s v="Colwell, Bruce and Susan"/>
    <x v="3"/>
    <x v="16"/>
    <s v="dummy case present created by craig. Peyton: Delete it"/>
  </r>
  <r>
    <s v="Sine, Judy L."/>
    <x v="6"/>
    <x v="17"/>
    <m/>
  </r>
  <r>
    <s v="Janes, Kenneth and Sandra"/>
    <x v="2"/>
    <x v="17"/>
    <m/>
  </r>
  <r>
    <s v="Cantu, Noelia C."/>
    <x v="2"/>
    <x v="17"/>
    <s v="1350$ due. Peyton: Ignore it"/>
  </r>
  <r>
    <s v="Weaver, Brandt and Melissa"/>
    <x v="2"/>
    <x v="17"/>
    <m/>
  </r>
  <r>
    <s v="Murphy, Bruce and Maryanne"/>
    <x v="2"/>
    <x v="17"/>
    <m/>
  </r>
  <r>
    <s v="Carpenter, Scott and Verna"/>
    <x v="2"/>
    <x v="17"/>
    <m/>
  </r>
  <r>
    <s v="Phalen, Michael and Marilyn"/>
    <x v="2"/>
    <x v="17"/>
    <s v="Placed new intake document in SharePoint. Signing date is yet to be updated (TBU) in dropbox."/>
  </r>
  <r>
    <s v="Mitchell, Eleanor L."/>
    <x v="6"/>
    <x v="17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BB15C-54AA-4887-9F9B-39B725584E8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ust Type">
  <location ref="G15:H18" firstHeaderRow="1" firstDataRow="1" firstDataCol="1" rowPageCount="1" colPageCount="1"/>
  <pivotFields count="6">
    <pivotField showAll="0"/>
    <pivotField axis="axisRow" dataField="1" showAll="0">
      <items count="10">
        <item x="3"/>
        <item x="5"/>
        <item x="1"/>
        <item x="4"/>
        <item x="6"/>
        <item x="2"/>
        <item x="0"/>
        <item x="7"/>
        <item x="8"/>
        <item t="default"/>
      </items>
    </pivotField>
    <pivotField axis="axisPage" showAll="0">
      <items count="20">
        <item x="1"/>
        <item x="2"/>
        <item x="3"/>
        <item x="4"/>
        <item x="5"/>
        <item x="6"/>
        <item x="7"/>
        <item x="8"/>
        <item x="9"/>
        <item x="10"/>
        <item x="0"/>
        <item m="1" x="18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">
    <i>
      <x v="4"/>
    </i>
    <i>
      <x v="5"/>
    </i>
    <i t="grand">
      <x/>
    </i>
  </rowItems>
  <colItems count="1">
    <i/>
  </colItems>
  <pageFields count="1">
    <pageField fld="2" item="18" hier="-1"/>
  </pageFields>
  <dataFields count="1">
    <dataField name="Count" fld="1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350BA5F-3463-43A9-BD6A-8F9C15AAF97E}" name="Table7" displayName="Table7" ref="A1:D12" totalsRowShown="0" headerRowBorderDxfId="3" tableBorderDxfId="2">
  <autoFilter ref="A1:D12" xr:uid="{3350BA5F-3463-43A9-BD6A-8F9C15AAF97E}"/>
  <tableColumns count="4">
    <tableColumn id="1" xr3:uid="{BAC151F0-A216-4001-92C2-3314F0DFB24A}" name="RLT"/>
    <tableColumn id="4" xr3:uid="{F79734FE-5536-48A3-8200-137C89EB1A8C}" name="MAPT"/>
    <tableColumn id="2" xr3:uid="{71BA3542-1F63-4747-9E77-4F383EE7E172}" name="Rest" dataDxfId="1"/>
    <tableColumn id="3" xr3:uid="{34A12E46-A6FC-4E0A-8D10-7B0E0B263FF6}" name="Am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H24"/>
  <sheetViews>
    <sheetView showGridLines="0" tabSelected="1" zoomScale="104" zoomScaleNormal="104" workbookViewId="0">
      <selection activeCell="G8" sqref="G8"/>
    </sheetView>
  </sheetViews>
  <sheetFormatPr defaultRowHeight="14.5" x14ac:dyDescent="0.35"/>
  <cols>
    <col min="1" max="1" width="11.7265625" bestFit="1" customWidth="1"/>
    <col min="2" max="2" width="12" bestFit="1" customWidth="1"/>
    <col min="4" max="4" width="34.7265625" customWidth="1"/>
    <col min="5" max="5" width="13.54296875" customWidth="1"/>
    <col min="6" max="6" width="13.7265625" customWidth="1"/>
    <col min="7" max="7" width="15.54296875" bestFit="1" customWidth="1"/>
    <col min="8" max="8" width="12" bestFit="1" customWidth="1"/>
  </cols>
  <sheetData>
    <row r="1" spans="1:8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8" ht="44.15" customHeight="1" x14ac:dyDescent="0.35">
      <c r="A2" s="1" t="s">
        <v>13</v>
      </c>
      <c r="B2" s="1" t="s">
        <v>8</v>
      </c>
      <c r="C2" s="1" t="s">
        <v>9</v>
      </c>
      <c r="D2" s="1" t="s">
        <v>10</v>
      </c>
      <c r="E2" s="1"/>
      <c r="F2" s="3">
        <v>45378</v>
      </c>
      <c r="G2" s="31" t="s">
        <v>341</v>
      </c>
      <c r="H2" t="str">
        <f>"Req-"&amp;TEXT(F2, "m-d-yyyy")&amp;"-"&amp;UPPER(C2)</f>
        <v>Req-3-27-2024-MITCHELL</v>
      </c>
    </row>
    <row r="3" spans="1:8" hidden="1" x14ac:dyDescent="0.35">
      <c r="A3" t="s">
        <v>11</v>
      </c>
    </row>
    <row r="4" spans="1:8" hidden="1" x14ac:dyDescent="0.35">
      <c r="A4" t="s">
        <v>12</v>
      </c>
    </row>
    <row r="5" spans="1:8" hidden="1" x14ac:dyDescent="0.35">
      <c r="A5" t="s">
        <v>7</v>
      </c>
    </row>
    <row r="6" spans="1:8" hidden="1" x14ac:dyDescent="0.35">
      <c r="A6" t="s">
        <v>13</v>
      </c>
    </row>
    <row r="9" spans="1:8" x14ac:dyDescent="0.35">
      <c r="G9" t="s">
        <v>14</v>
      </c>
    </row>
    <row r="10" spans="1:8" x14ac:dyDescent="0.35">
      <c r="G10" t="s">
        <v>342</v>
      </c>
    </row>
    <row r="12" spans="1:8" x14ac:dyDescent="0.35">
      <c r="G12" t="s">
        <v>15</v>
      </c>
    </row>
    <row r="13" spans="1:8" x14ac:dyDescent="0.35">
      <c r="A13" s="38" t="s">
        <v>16</v>
      </c>
      <c r="B13" s="38"/>
      <c r="C13" s="38"/>
      <c r="D13" s="38"/>
      <c r="E13" s="22" t="s">
        <v>17</v>
      </c>
      <c r="G13" s="32" t="s">
        <v>18</v>
      </c>
      <c r="H13" s="33">
        <v>45345</v>
      </c>
    </row>
    <row r="14" spans="1:8" x14ac:dyDescent="0.35">
      <c r="A14" s="1" t="str" cm="1">
        <f t="array" aca="1" ref="A14:A24" ca="1">_xlfn._xlws.FILTER(INDIRECT(A2),A2=$A2)</f>
        <v>Paste invoice and any unscanned documents in folder</v>
      </c>
      <c r="B14" s="1"/>
      <c r="C14" s="1"/>
      <c r="D14" s="1"/>
      <c r="E14" s="1" t="s">
        <v>19</v>
      </c>
    </row>
    <row r="15" spans="1:8" x14ac:dyDescent="0.35">
      <c r="A15" s="1" t="str">
        <f ca="1"/>
        <v>Create case along with Signing date and Status</v>
      </c>
      <c r="B15" s="1"/>
      <c r="C15" s="1"/>
      <c r="D15" s="1"/>
      <c r="E15" s="1" t="s">
        <v>19</v>
      </c>
      <c r="G15" s="32" t="s">
        <v>20</v>
      </c>
      <c r="H15" t="s">
        <v>21</v>
      </c>
    </row>
    <row r="16" spans="1:8" x14ac:dyDescent="0.35">
      <c r="A16" s="1" t="str">
        <f ca="1"/>
        <v>Update sharepoint link in website field</v>
      </c>
      <c r="B16" s="1"/>
      <c r="C16" s="1"/>
      <c r="D16" s="1"/>
      <c r="E16" s="1" t="s">
        <v>19</v>
      </c>
      <c r="G16" s="18" t="s">
        <v>7</v>
      </c>
      <c r="H16" s="18">
        <v>2</v>
      </c>
    </row>
    <row r="17" spans="1:8" x14ac:dyDescent="0.35">
      <c r="A17" s="1" t="str">
        <f ca="1"/>
        <v>Dropbox: Request for amd, Recent or original RLT, Recent Amds RLT - RRA</v>
      </c>
      <c r="B17" s="1"/>
      <c r="C17" s="1"/>
      <c r="D17" s="1"/>
      <c r="E17" s="1" t="s">
        <v>19</v>
      </c>
      <c r="G17" s="18" t="s">
        <v>11</v>
      </c>
      <c r="H17" s="18">
        <v>6</v>
      </c>
    </row>
    <row r="18" spans="1:8" x14ac:dyDescent="0.35">
      <c r="A18" s="1" t="str">
        <f ca="1"/>
        <v>Acknowledgement, invoice, req, Letter by mail, NFS, TS - AIR LNT</v>
      </c>
      <c r="B18" s="1"/>
      <c r="C18" s="1"/>
      <c r="D18" s="1"/>
      <c r="E18" s="1" t="s">
        <v>19</v>
      </c>
      <c r="G18" s="18" t="s">
        <v>22</v>
      </c>
      <c r="H18" s="18">
        <v>8</v>
      </c>
    </row>
    <row r="19" spans="1:8" x14ac:dyDescent="0.35">
      <c r="A19" s="1" t="str">
        <f ca="1"/>
        <v>EPR if MAPT or hardcopy as EPR or Exercise limited power is selected intake</v>
      </c>
      <c r="B19" s="1"/>
      <c r="C19" s="1"/>
      <c r="D19" s="1"/>
      <c r="E19" s="1" t="s">
        <v>19</v>
      </c>
    </row>
    <row r="20" spans="1:8" x14ac:dyDescent="0.35">
      <c r="A20" s="1" t="str">
        <f ca="1"/>
        <v>MHI for non-ccp</v>
      </c>
      <c r="B20" s="1"/>
      <c r="C20" s="1"/>
      <c r="D20" s="1"/>
      <c r="E20" s="1" t="s">
        <v>19</v>
      </c>
    </row>
    <row r="21" spans="1:8" x14ac:dyDescent="0.35">
      <c r="A21" s="1" t="str">
        <f ca="1"/>
        <v xml:space="preserve">If PD, check for LWT. </v>
      </c>
      <c r="B21" s="1"/>
      <c r="C21" s="1"/>
      <c r="D21" s="1"/>
      <c r="E21" s="1" t="s">
        <v>19</v>
      </c>
    </row>
    <row r="22" spans="1:8" x14ac:dyDescent="0.35">
      <c r="A22" s="1" t="str">
        <f ca="1"/>
        <v>Verfiy Gender, Geography and Living trust date</v>
      </c>
      <c r="B22" s="1"/>
      <c r="C22" s="1"/>
      <c r="D22" s="1"/>
      <c r="E22" s="1" t="s">
        <v>19</v>
      </c>
    </row>
    <row r="23" spans="1:8" x14ac:dyDescent="0.35">
      <c r="A23" s="1" t="str">
        <f ca="1"/>
        <v>Verify demographic details</v>
      </c>
      <c r="B23" s="1"/>
      <c r="C23" s="1"/>
      <c r="D23" s="1"/>
      <c r="E23" s="1" t="s">
        <v>19</v>
      </c>
      <c r="G23" s="18"/>
    </row>
    <row r="24" spans="1:8" x14ac:dyDescent="0.35">
      <c r="A24" s="1" t="str">
        <f ca="1"/>
        <v>Check for PD details in previous amendment folder and update in airtable</v>
      </c>
      <c r="B24" s="1"/>
      <c r="C24" s="1"/>
      <c r="D24" s="1"/>
      <c r="E24" s="1"/>
      <c r="G24" s="18"/>
    </row>
  </sheetData>
  <sheetProtection selectLockedCells="1" selectUnlockedCells="1"/>
  <mergeCells count="1">
    <mergeCell ref="A13:D13"/>
  </mergeCells>
  <conditionalFormatting sqref="B2">
    <cfRule type="expression" dxfId="6" priority="15">
      <formula>OR($A2="RLT", $A2="MAPT")</formula>
    </cfRule>
  </conditionalFormatting>
  <conditionalFormatting sqref="E2">
    <cfRule type="expression" dxfId="5" priority="1">
      <formula>OR($A2="Rest", $A2="Amd")</formula>
    </cfRule>
  </conditionalFormatting>
  <dataValidations count="3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  <dataValidation allowBlank="1" showInputMessage="1" showErrorMessage="1" errorTitle="Not applicable" sqref="C2" xr:uid="{3944F66B-E29C-4EE0-9982-3D1A8BD274B6}"/>
    <dataValidation type="custom" allowBlank="1" showInputMessage="1" showErrorMessage="1" errorTitle="Not applicable" sqref="E2" xr:uid="{844AE797-DBB9-4292-B2BC-60635EDCB1FD}">
      <formula1>OR($A2="RLT", $A2="MAPT")</formula1>
    </dataValidation>
  </dataValidation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>
                  <from>
                    <xdr:col>2</xdr:col>
                    <xdr:colOff>298450</xdr:colOff>
                    <xdr:row>9</xdr:row>
                    <xdr:rowOff>95250</xdr:rowOff>
                  </from>
                  <to>
                    <xdr:col>3</xdr:col>
                    <xdr:colOff>336550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nerate_Folder">
                <anchor moveWithCells="1">
                  <from>
                    <xdr:col>4</xdr:col>
                    <xdr:colOff>527050</xdr:colOff>
                    <xdr:row>9</xdr:row>
                    <xdr:rowOff>88900</xdr:rowOff>
                  </from>
                  <to>
                    <xdr:col>5</xdr:col>
                    <xdr:colOff>641350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  <x14:dataValidation type="list" showInputMessage="1" showErrorMessage="1" xr:uid="{61070E94-B991-4F61-AB0E-5AEC150665C9}">
          <x14:formula1>
            <xm:f>Option!$A$1:$D$1</xm:f>
          </x14:formula1>
          <xm:sqref>A2</xm:sqref>
        </x14:dataValidation>
        <x14:dataValidation type="list" showInputMessage="1" showErrorMessage="1" xr:uid="{7663403F-1100-4B46-8817-6F6A7479C69B}">
          <x14:formula1>
            <xm:f>Option!#REF!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E12"/>
  <sheetViews>
    <sheetView topLeftCell="B1" workbookViewId="0">
      <selection activeCell="D6" sqref="D6"/>
    </sheetView>
  </sheetViews>
  <sheetFormatPr defaultRowHeight="15" customHeight="1" x14ac:dyDescent="0.35"/>
  <cols>
    <col min="1" max="2" width="46.1796875" customWidth="1"/>
    <col min="3" max="3" width="50.1796875" customWidth="1"/>
    <col min="4" max="4" width="49.26953125" customWidth="1"/>
  </cols>
  <sheetData>
    <row r="1" spans="1:5" ht="23.15" customHeight="1" x14ac:dyDescent="0.35">
      <c r="A1" t="s">
        <v>11</v>
      </c>
      <c r="B1" t="s">
        <v>12</v>
      </c>
      <c r="C1" t="s">
        <v>7</v>
      </c>
      <c r="D1" t="s">
        <v>13</v>
      </c>
      <c r="E1" s="30" t="s">
        <v>23</v>
      </c>
    </row>
    <row r="2" spans="1:5" ht="15" customHeight="1" x14ac:dyDescent="0.35">
      <c r="A2" s="12" t="s">
        <v>24</v>
      </c>
      <c r="B2" s="12" t="s">
        <v>24</v>
      </c>
      <c r="C2" s="12" t="s">
        <v>24</v>
      </c>
      <c r="D2" s="27" t="s">
        <v>25</v>
      </c>
      <c r="E2" s="12" t="s">
        <v>26</v>
      </c>
    </row>
    <row r="3" spans="1:5" ht="15" customHeight="1" x14ac:dyDescent="0.35">
      <c r="A3" s="12" t="s">
        <v>27</v>
      </c>
      <c r="B3" s="12" t="s">
        <v>27</v>
      </c>
      <c r="C3" s="12" t="s">
        <v>27</v>
      </c>
      <c r="D3" s="27" t="s">
        <v>28</v>
      </c>
    </row>
    <row r="4" spans="1:5" ht="15" customHeight="1" x14ac:dyDescent="0.35">
      <c r="A4" s="12" t="s">
        <v>29</v>
      </c>
      <c r="B4" s="12" t="s">
        <v>29</v>
      </c>
      <c r="C4" s="12" t="s">
        <v>29</v>
      </c>
      <c r="D4" s="27" t="s">
        <v>30</v>
      </c>
    </row>
    <row r="5" spans="1:5" ht="15" customHeight="1" x14ac:dyDescent="0.35">
      <c r="A5" s="12" t="s">
        <v>31</v>
      </c>
      <c r="B5" s="12" t="s">
        <v>31</v>
      </c>
      <c r="C5" s="12" t="s">
        <v>30</v>
      </c>
      <c r="D5" s="29" t="s">
        <v>32</v>
      </c>
    </row>
    <row r="6" spans="1:5" ht="15" customHeight="1" x14ac:dyDescent="0.35">
      <c r="A6" s="12" t="s">
        <v>33</v>
      </c>
      <c r="B6" s="12" t="s">
        <v>33</v>
      </c>
      <c r="C6" s="12" t="s">
        <v>34</v>
      </c>
      <c r="D6" s="29" t="s">
        <v>343</v>
      </c>
    </row>
    <row r="7" spans="1:5" ht="15" customHeight="1" x14ac:dyDescent="0.35">
      <c r="A7" s="27" t="s">
        <v>35</v>
      </c>
      <c r="B7" s="27" t="s">
        <v>35</v>
      </c>
      <c r="C7" s="16" t="s">
        <v>36</v>
      </c>
      <c r="D7" s="27" t="s">
        <v>37</v>
      </c>
    </row>
    <row r="8" spans="1:5" ht="15" customHeight="1" x14ac:dyDescent="0.35">
      <c r="A8" s="27" t="s">
        <v>38</v>
      </c>
      <c r="B8" s="27" t="s">
        <v>38</v>
      </c>
      <c r="C8" s="12" t="s">
        <v>39</v>
      </c>
      <c r="D8" s="27" t="s">
        <v>40</v>
      </c>
    </row>
    <row r="9" spans="1:5" ht="15" customHeight="1" x14ac:dyDescent="0.35">
      <c r="A9" s="28" t="s">
        <v>41</v>
      </c>
      <c r="B9" s="28" t="s">
        <v>41</v>
      </c>
      <c r="C9" s="12" t="s">
        <v>33</v>
      </c>
      <c r="D9" s="27" t="s">
        <v>42</v>
      </c>
    </row>
    <row r="10" spans="1:5" ht="15" customHeight="1" x14ac:dyDescent="0.35">
      <c r="A10" s="25" t="s">
        <v>41</v>
      </c>
      <c r="B10" s="28" t="s">
        <v>41</v>
      </c>
      <c r="C10" s="12" t="s">
        <v>35</v>
      </c>
      <c r="D10" s="27" t="s">
        <v>33</v>
      </c>
    </row>
    <row r="11" spans="1:5" ht="15" customHeight="1" x14ac:dyDescent="0.35">
      <c r="A11" s="26" t="s">
        <v>41</v>
      </c>
      <c r="B11" s="28" t="s">
        <v>41</v>
      </c>
      <c r="C11" s="12" t="s">
        <v>38</v>
      </c>
      <c r="D11" s="27" t="s">
        <v>43</v>
      </c>
    </row>
    <row r="12" spans="1:5" ht="15" customHeight="1" x14ac:dyDescent="0.35">
      <c r="A12" s="26" t="s">
        <v>41</v>
      </c>
      <c r="B12" s="28" t="s">
        <v>41</v>
      </c>
      <c r="C12" t="s">
        <v>41</v>
      </c>
      <c r="D12" s="27" t="s">
        <v>44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E5E1-A042-46F2-BF19-24C281761421}">
  <sheetPr codeName="Sheet3"/>
  <dimension ref="A1:D250"/>
  <sheetViews>
    <sheetView zoomScale="85" zoomScaleNormal="85" workbookViewId="0">
      <pane ySplit="1" topLeftCell="A233" activePane="bottomLeft" state="frozen"/>
      <selection pane="bottomLeft" activeCell="G225" sqref="G225"/>
    </sheetView>
  </sheetViews>
  <sheetFormatPr defaultRowHeight="14.5" x14ac:dyDescent="0.35"/>
  <cols>
    <col min="1" max="1" width="28.453125" bestFit="1" customWidth="1"/>
    <col min="2" max="2" width="10.7265625" bestFit="1" customWidth="1"/>
    <col min="3" max="3" width="14.453125" bestFit="1" customWidth="1"/>
    <col min="4" max="4" width="64" customWidth="1"/>
  </cols>
  <sheetData>
    <row r="1" spans="1:4" x14ac:dyDescent="0.35">
      <c r="A1" s="10" t="s">
        <v>45</v>
      </c>
      <c r="B1" s="10" t="s">
        <v>20</v>
      </c>
      <c r="C1" s="10" t="s">
        <v>18</v>
      </c>
      <c r="D1" s="10" t="s">
        <v>46</v>
      </c>
    </row>
    <row r="2" spans="1:4" x14ac:dyDescent="0.35">
      <c r="A2" s="1" t="s">
        <v>47</v>
      </c>
      <c r="B2" s="1"/>
      <c r="C2" s="1"/>
      <c r="D2" s="1"/>
    </row>
    <row r="3" spans="1:4" x14ac:dyDescent="0.35">
      <c r="A3" s="5" t="s">
        <v>48</v>
      </c>
      <c r="B3" s="1"/>
      <c r="C3" s="1"/>
      <c r="D3" s="1"/>
    </row>
    <row r="4" spans="1:4" x14ac:dyDescent="0.35">
      <c r="A4" s="5" t="s">
        <v>49</v>
      </c>
      <c r="B4" s="1" t="s">
        <v>12</v>
      </c>
      <c r="C4" s="1"/>
      <c r="D4" s="1"/>
    </row>
    <row r="5" spans="1:4" x14ac:dyDescent="0.35">
      <c r="A5" s="5" t="s">
        <v>50</v>
      </c>
      <c r="B5" s="1"/>
      <c r="C5" s="1"/>
      <c r="D5" s="1"/>
    </row>
    <row r="6" spans="1:4" x14ac:dyDescent="0.35">
      <c r="A6" s="5" t="s">
        <v>51</v>
      </c>
      <c r="B6" s="1"/>
      <c r="C6" s="1"/>
      <c r="D6" s="1"/>
    </row>
    <row r="7" spans="1:4" x14ac:dyDescent="0.35">
      <c r="A7" s="5" t="s">
        <v>52</v>
      </c>
      <c r="B7" s="1"/>
      <c r="C7" s="1"/>
      <c r="D7" s="1"/>
    </row>
    <row r="8" spans="1:4" x14ac:dyDescent="0.35">
      <c r="A8" s="5" t="s">
        <v>53</v>
      </c>
      <c r="B8" s="1"/>
      <c r="C8" s="1"/>
      <c r="D8" s="1"/>
    </row>
    <row r="9" spans="1:4" x14ac:dyDescent="0.35">
      <c r="A9" s="5" t="s">
        <v>54</v>
      </c>
      <c r="B9" s="1"/>
      <c r="C9" s="1"/>
      <c r="D9" s="1"/>
    </row>
    <row r="10" spans="1:4" x14ac:dyDescent="0.35">
      <c r="A10" s="5" t="s">
        <v>55</v>
      </c>
      <c r="B10" s="1"/>
      <c r="C10" s="1"/>
      <c r="D10" s="1"/>
    </row>
    <row r="11" spans="1:4" x14ac:dyDescent="0.35">
      <c r="A11" s="6" t="s">
        <v>56</v>
      </c>
      <c r="B11" s="1"/>
      <c r="C11" s="1"/>
      <c r="D11" s="1"/>
    </row>
    <row r="12" spans="1:4" x14ac:dyDescent="0.35">
      <c r="A12" s="6" t="s">
        <v>57</v>
      </c>
      <c r="B12" s="1"/>
      <c r="C12" s="1"/>
      <c r="D12" s="1"/>
    </row>
    <row r="13" spans="1:4" x14ac:dyDescent="0.35">
      <c r="A13" s="6" t="s">
        <v>58</v>
      </c>
      <c r="B13" s="1"/>
      <c r="C13" s="1"/>
      <c r="D13" s="1"/>
    </row>
    <row r="14" spans="1:4" x14ac:dyDescent="0.35">
      <c r="A14" s="6" t="s">
        <v>59</v>
      </c>
      <c r="B14" s="1"/>
      <c r="C14" s="1"/>
      <c r="D14" s="1"/>
    </row>
    <row r="15" spans="1:4" x14ac:dyDescent="0.35">
      <c r="A15" s="6" t="s">
        <v>60</v>
      </c>
      <c r="B15" s="1"/>
      <c r="C15" s="1"/>
      <c r="D15" s="1"/>
    </row>
    <row r="16" spans="1:4" x14ac:dyDescent="0.35">
      <c r="A16" s="6" t="s">
        <v>61</v>
      </c>
      <c r="B16" s="1"/>
      <c r="C16" s="1"/>
      <c r="D16" s="1"/>
    </row>
    <row r="17" spans="1:4" x14ac:dyDescent="0.35">
      <c r="A17" s="6" t="s">
        <v>62</v>
      </c>
      <c r="B17" s="1"/>
      <c r="C17" s="1"/>
      <c r="D17" s="1"/>
    </row>
    <row r="18" spans="1:4" x14ac:dyDescent="0.35">
      <c r="A18" s="6" t="s">
        <v>63</v>
      </c>
      <c r="B18" s="1"/>
      <c r="C18" s="1"/>
      <c r="D18" s="1"/>
    </row>
    <row r="19" spans="1:4" x14ac:dyDescent="0.35">
      <c r="A19" s="6" t="s">
        <v>64</v>
      </c>
      <c r="B19" s="1"/>
      <c r="C19" s="1"/>
      <c r="D19" s="1"/>
    </row>
    <row r="20" spans="1:4" x14ac:dyDescent="0.35">
      <c r="A20" s="6" t="s">
        <v>65</v>
      </c>
      <c r="B20" s="1"/>
      <c r="C20" s="1"/>
      <c r="D20" s="1"/>
    </row>
    <row r="21" spans="1:4" x14ac:dyDescent="0.35">
      <c r="A21" s="6" t="s">
        <v>66</v>
      </c>
      <c r="B21" s="1"/>
      <c r="C21" s="1"/>
      <c r="D21" s="1"/>
    </row>
    <row r="22" spans="1:4" x14ac:dyDescent="0.35">
      <c r="A22" s="6" t="s">
        <v>67</v>
      </c>
      <c r="B22" s="1"/>
      <c r="C22" s="1"/>
      <c r="D22" s="1"/>
    </row>
    <row r="23" spans="1:4" x14ac:dyDescent="0.35">
      <c r="A23" s="6" t="s">
        <v>68</v>
      </c>
      <c r="B23" s="1"/>
      <c r="C23" s="1"/>
      <c r="D23" s="1"/>
    </row>
    <row r="24" spans="1:4" x14ac:dyDescent="0.35">
      <c r="A24" s="7" t="s">
        <v>69</v>
      </c>
      <c r="B24" s="1"/>
      <c r="C24" s="1"/>
      <c r="D24" s="1"/>
    </row>
    <row r="25" spans="1:4" x14ac:dyDescent="0.35">
      <c r="A25" s="6" t="s">
        <v>70</v>
      </c>
      <c r="B25" s="1"/>
      <c r="C25" s="1"/>
      <c r="D25" s="1"/>
    </row>
    <row r="26" spans="1:4" x14ac:dyDescent="0.35">
      <c r="A26" s="6" t="s">
        <v>71</v>
      </c>
      <c r="B26" s="1"/>
      <c r="C26" s="1"/>
      <c r="D26" s="1"/>
    </row>
    <row r="27" spans="1:4" x14ac:dyDescent="0.35">
      <c r="A27" s="8" t="s">
        <v>72</v>
      </c>
      <c r="B27" s="1"/>
      <c r="C27" s="1"/>
      <c r="D27" s="1"/>
    </row>
    <row r="28" spans="1:4" x14ac:dyDescent="0.35">
      <c r="A28" s="6" t="s">
        <v>73</v>
      </c>
      <c r="B28" s="1"/>
      <c r="C28" s="1"/>
      <c r="D28" s="1"/>
    </row>
    <row r="29" spans="1:4" x14ac:dyDescent="0.35">
      <c r="A29" s="6" t="s">
        <v>74</v>
      </c>
      <c r="B29" s="1"/>
      <c r="C29" s="1"/>
      <c r="D29" s="1"/>
    </row>
    <row r="30" spans="1:4" x14ac:dyDescent="0.35">
      <c r="A30" s="6" t="s">
        <v>75</v>
      </c>
      <c r="B30" s="1"/>
      <c r="C30" s="1"/>
      <c r="D30" s="1"/>
    </row>
    <row r="31" spans="1:4" x14ac:dyDescent="0.35">
      <c r="A31" s="9" t="s">
        <v>76</v>
      </c>
      <c r="B31" s="1"/>
      <c r="C31" s="1"/>
      <c r="D31" s="1"/>
    </row>
    <row r="32" spans="1:4" x14ac:dyDescent="0.35">
      <c r="A32" s="6" t="s">
        <v>77</v>
      </c>
      <c r="B32" s="1"/>
      <c r="C32" s="1"/>
      <c r="D32" s="1"/>
    </row>
    <row r="33" spans="1:4" x14ac:dyDescent="0.35">
      <c r="A33" s="9" t="s">
        <v>78</v>
      </c>
      <c r="B33" s="1"/>
      <c r="C33" s="1"/>
      <c r="D33" s="1"/>
    </row>
    <row r="34" spans="1:4" x14ac:dyDescent="0.35">
      <c r="A34" s="9" t="s">
        <v>79</v>
      </c>
      <c r="B34" s="1"/>
      <c r="C34" s="1"/>
      <c r="D34" s="1"/>
    </row>
    <row r="35" spans="1:4" x14ac:dyDescent="0.35">
      <c r="A35" s="9" t="s">
        <v>80</v>
      </c>
      <c r="B35" s="1"/>
      <c r="C35" s="1"/>
      <c r="D35" s="1"/>
    </row>
    <row r="36" spans="1:4" x14ac:dyDescent="0.35">
      <c r="A36" s="9" t="s">
        <v>81</v>
      </c>
      <c r="B36" s="1"/>
      <c r="C36" s="1"/>
      <c r="D36" s="1"/>
    </row>
    <row r="37" spans="1:4" x14ac:dyDescent="0.35">
      <c r="A37" s="5" t="s">
        <v>82</v>
      </c>
      <c r="B37" s="1"/>
      <c r="C37" s="1"/>
      <c r="D37" s="1"/>
    </row>
    <row r="38" spans="1:4" x14ac:dyDescent="0.35">
      <c r="A38" s="9" t="s">
        <v>83</v>
      </c>
      <c r="B38" s="1"/>
      <c r="C38" s="1"/>
      <c r="D38" s="1"/>
    </row>
    <row r="39" spans="1:4" x14ac:dyDescent="0.35">
      <c r="A39" s="9" t="s">
        <v>84</v>
      </c>
      <c r="B39" s="1"/>
      <c r="C39" s="1"/>
      <c r="D39" s="1"/>
    </row>
    <row r="40" spans="1:4" x14ac:dyDescent="0.35">
      <c r="A40" s="6" t="s">
        <v>85</v>
      </c>
      <c r="B40" s="1"/>
      <c r="C40" s="1"/>
      <c r="D40" s="1"/>
    </row>
    <row r="41" spans="1:4" x14ac:dyDescent="0.35">
      <c r="A41" s="6" t="s">
        <v>86</v>
      </c>
      <c r="B41" s="1"/>
      <c r="C41" s="1"/>
      <c r="D41" s="1"/>
    </row>
    <row r="42" spans="1:4" x14ac:dyDescent="0.35">
      <c r="A42" s="9" t="s">
        <v>87</v>
      </c>
      <c r="B42" s="1"/>
      <c r="C42" s="1"/>
      <c r="D42" s="1"/>
    </row>
    <row r="43" spans="1:4" x14ac:dyDescent="0.35">
      <c r="A43" s="9" t="s">
        <v>88</v>
      </c>
      <c r="B43" s="1"/>
      <c r="C43" s="1"/>
      <c r="D43" s="1"/>
    </row>
    <row r="44" spans="1:4" x14ac:dyDescent="0.35">
      <c r="A44" s="9" t="s">
        <v>89</v>
      </c>
      <c r="B44" s="1"/>
      <c r="C44" s="1"/>
      <c r="D44" s="1"/>
    </row>
    <row r="45" spans="1:4" x14ac:dyDescent="0.35">
      <c r="A45" s="6" t="s">
        <v>90</v>
      </c>
      <c r="B45" s="1"/>
      <c r="C45" s="1"/>
      <c r="D45" s="1"/>
    </row>
    <row r="46" spans="1:4" x14ac:dyDescent="0.35">
      <c r="A46" s="6" t="s">
        <v>91</v>
      </c>
      <c r="B46" s="1"/>
      <c r="C46" s="1"/>
      <c r="D46" s="1"/>
    </row>
    <row r="47" spans="1:4" x14ac:dyDescent="0.35">
      <c r="A47" s="6" t="s">
        <v>92</v>
      </c>
      <c r="B47" s="1"/>
      <c r="C47" s="1"/>
      <c r="D47" s="1"/>
    </row>
    <row r="48" spans="1:4" x14ac:dyDescent="0.35">
      <c r="A48" s="6" t="s">
        <v>93</v>
      </c>
      <c r="B48" s="1"/>
      <c r="C48" s="1"/>
      <c r="D48" s="1"/>
    </row>
    <row r="49" spans="1:4" x14ac:dyDescent="0.35">
      <c r="A49" s="6" t="s">
        <v>94</v>
      </c>
      <c r="B49" s="1"/>
      <c r="C49" s="1"/>
      <c r="D49" s="1"/>
    </row>
    <row r="50" spans="1:4" x14ac:dyDescent="0.35">
      <c r="A50" s="6" t="s">
        <v>95</v>
      </c>
      <c r="B50" s="1"/>
      <c r="C50" s="1"/>
      <c r="D50" s="1"/>
    </row>
    <row r="51" spans="1:4" x14ac:dyDescent="0.35">
      <c r="A51" s="6" t="s">
        <v>96</v>
      </c>
      <c r="B51" s="1"/>
      <c r="C51" s="1"/>
      <c r="D51" s="1"/>
    </row>
    <row r="52" spans="1:4" x14ac:dyDescent="0.35">
      <c r="A52" s="5" t="s">
        <v>97</v>
      </c>
      <c r="B52" s="1"/>
      <c r="C52" s="1"/>
      <c r="D52" s="1"/>
    </row>
    <row r="53" spans="1:4" x14ac:dyDescent="0.35">
      <c r="A53" s="5" t="s">
        <v>98</v>
      </c>
      <c r="B53" s="5" t="s">
        <v>11</v>
      </c>
      <c r="C53" s="11">
        <v>45320</v>
      </c>
      <c r="D53" s="1"/>
    </row>
    <row r="54" spans="1:4" x14ac:dyDescent="0.35">
      <c r="A54" s="5" t="s">
        <v>99</v>
      </c>
      <c r="B54" s="5" t="s">
        <v>11</v>
      </c>
      <c r="C54" s="11">
        <v>45320</v>
      </c>
      <c r="D54" s="1"/>
    </row>
    <row r="55" spans="1:4" x14ac:dyDescent="0.35">
      <c r="A55" s="5" t="s">
        <v>100</v>
      </c>
      <c r="B55" s="5" t="s">
        <v>13</v>
      </c>
      <c r="C55" s="11">
        <v>45321</v>
      </c>
      <c r="D55" s="1"/>
    </row>
    <row r="56" spans="1:4" x14ac:dyDescent="0.35">
      <c r="A56" s="5" t="s">
        <v>101</v>
      </c>
      <c r="B56" s="5" t="s">
        <v>13</v>
      </c>
      <c r="C56" s="11">
        <v>45321</v>
      </c>
      <c r="D56" s="1"/>
    </row>
    <row r="57" spans="1:4" x14ac:dyDescent="0.35">
      <c r="A57" s="5" t="s">
        <v>102</v>
      </c>
      <c r="B57" s="5" t="s">
        <v>13</v>
      </c>
      <c r="C57" s="11">
        <v>45321</v>
      </c>
      <c r="D57" s="1"/>
    </row>
    <row r="58" spans="1:4" x14ac:dyDescent="0.35">
      <c r="A58" s="5" t="s">
        <v>103</v>
      </c>
      <c r="B58" s="5" t="s">
        <v>13</v>
      </c>
      <c r="C58" s="11">
        <v>45321</v>
      </c>
      <c r="D58" s="1"/>
    </row>
    <row r="59" spans="1:4" x14ac:dyDescent="0.35">
      <c r="A59" s="5" t="s">
        <v>104</v>
      </c>
      <c r="B59" s="5" t="s">
        <v>13</v>
      </c>
      <c r="C59" s="11">
        <v>45321</v>
      </c>
      <c r="D59" s="1"/>
    </row>
    <row r="60" spans="1:4" x14ac:dyDescent="0.35">
      <c r="A60" s="5" t="s">
        <v>105</v>
      </c>
      <c r="B60" s="5" t="s">
        <v>106</v>
      </c>
      <c r="C60" s="11">
        <v>45321</v>
      </c>
      <c r="D60" s="1"/>
    </row>
    <row r="61" spans="1:4" x14ac:dyDescent="0.35">
      <c r="A61" s="5" t="s">
        <v>107</v>
      </c>
      <c r="B61" s="5" t="s">
        <v>108</v>
      </c>
      <c r="C61" s="11">
        <v>45321</v>
      </c>
      <c r="D61" s="1"/>
    </row>
    <row r="62" spans="1:4" x14ac:dyDescent="0.35">
      <c r="A62" s="5" t="s">
        <v>109</v>
      </c>
      <c r="B62" s="5" t="s">
        <v>13</v>
      </c>
      <c r="C62" s="11">
        <v>45322</v>
      </c>
      <c r="D62" s="1"/>
    </row>
    <row r="63" spans="1:4" x14ac:dyDescent="0.35">
      <c r="A63" s="5" t="s">
        <v>110</v>
      </c>
      <c r="B63" s="5" t="s">
        <v>13</v>
      </c>
      <c r="C63" s="11">
        <v>45322</v>
      </c>
      <c r="D63" s="1"/>
    </row>
    <row r="64" spans="1:4" x14ac:dyDescent="0.35">
      <c r="A64" s="5" t="s">
        <v>111</v>
      </c>
      <c r="B64" s="5" t="s">
        <v>13</v>
      </c>
      <c r="C64" s="11">
        <v>45322</v>
      </c>
      <c r="D64" s="1"/>
    </row>
    <row r="65" spans="1:4" x14ac:dyDescent="0.35">
      <c r="A65" s="5" t="s">
        <v>112</v>
      </c>
      <c r="B65" s="5" t="s">
        <v>13</v>
      </c>
      <c r="C65" s="11">
        <v>45322</v>
      </c>
      <c r="D65" s="1"/>
    </row>
    <row r="66" spans="1:4" x14ac:dyDescent="0.35">
      <c r="A66" s="5" t="s">
        <v>113</v>
      </c>
      <c r="B66" s="5" t="s">
        <v>13</v>
      </c>
      <c r="C66" s="11">
        <v>45322</v>
      </c>
      <c r="D66" s="1"/>
    </row>
    <row r="67" spans="1:4" x14ac:dyDescent="0.35">
      <c r="A67" s="5" t="s">
        <v>114</v>
      </c>
      <c r="B67" s="5" t="s">
        <v>11</v>
      </c>
      <c r="C67" s="11">
        <v>45322</v>
      </c>
      <c r="D67" s="1"/>
    </row>
    <row r="68" spans="1:4" x14ac:dyDescent="0.35">
      <c r="A68" s="5" t="s">
        <v>115</v>
      </c>
      <c r="B68" s="5" t="s">
        <v>11</v>
      </c>
      <c r="C68" s="11">
        <v>45322</v>
      </c>
      <c r="D68" s="1"/>
    </row>
    <row r="69" spans="1:4" x14ac:dyDescent="0.35">
      <c r="A69" s="5" t="s">
        <v>116</v>
      </c>
      <c r="B69" s="5" t="s">
        <v>11</v>
      </c>
      <c r="C69" s="11">
        <v>45322</v>
      </c>
      <c r="D69" s="1"/>
    </row>
    <row r="70" spans="1:4" x14ac:dyDescent="0.35">
      <c r="A70" s="5" t="s">
        <v>117</v>
      </c>
      <c r="B70" s="5" t="s">
        <v>11</v>
      </c>
      <c r="C70" s="11">
        <v>45322</v>
      </c>
      <c r="D70" s="1"/>
    </row>
    <row r="71" spans="1:4" x14ac:dyDescent="0.35">
      <c r="A71" s="5" t="s">
        <v>118</v>
      </c>
      <c r="B71" s="5" t="s">
        <v>11</v>
      </c>
      <c r="C71" s="11">
        <v>45322</v>
      </c>
      <c r="D71" s="1"/>
    </row>
    <row r="72" spans="1:4" x14ac:dyDescent="0.35">
      <c r="A72" s="5" t="s">
        <v>119</v>
      </c>
      <c r="B72" s="5" t="s">
        <v>11</v>
      </c>
      <c r="C72" s="11">
        <v>45323</v>
      </c>
      <c r="D72" s="1" t="s">
        <v>120</v>
      </c>
    </row>
    <row r="73" spans="1:4" x14ac:dyDescent="0.35">
      <c r="A73" s="5" t="s">
        <v>121</v>
      </c>
      <c r="B73" s="5" t="s">
        <v>11</v>
      </c>
      <c r="C73" s="11">
        <v>45323</v>
      </c>
      <c r="D73" s="1" t="s">
        <v>120</v>
      </c>
    </row>
    <row r="74" spans="1:4" x14ac:dyDescent="0.35">
      <c r="A74" s="19" t="s">
        <v>122</v>
      </c>
      <c r="B74" s="19" t="s">
        <v>11</v>
      </c>
      <c r="C74" s="20">
        <v>45323</v>
      </c>
      <c r="D74" s="21" t="s">
        <v>120</v>
      </c>
    </row>
    <row r="75" spans="1:4" x14ac:dyDescent="0.35">
      <c r="A75" s="5" t="s">
        <v>123</v>
      </c>
      <c r="B75" s="5" t="s">
        <v>11</v>
      </c>
      <c r="C75" s="11">
        <v>45323</v>
      </c>
      <c r="D75" s="1" t="s">
        <v>124</v>
      </c>
    </row>
    <row r="76" spans="1:4" x14ac:dyDescent="0.35">
      <c r="A76" s="5" t="s">
        <v>125</v>
      </c>
      <c r="B76" s="5" t="s">
        <v>7</v>
      </c>
      <c r="C76" s="11">
        <v>45323</v>
      </c>
      <c r="D76" s="1" t="s">
        <v>120</v>
      </c>
    </row>
    <row r="77" spans="1:4" x14ac:dyDescent="0.35">
      <c r="A77" s="5" t="s">
        <v>126</v>
      </c>
      <c r="B77" s="5" t="s">
        <v>11</v>
      </c>
      <c r="C77" s="11">
        <v>45323</v>
      </c>
      <c r="D77" s="1" t="s">
        <v>120</v>
      </c>
    </row>
    <row r="78" spans="1:4" x14ac:dyDescent="0.35">
      <c r="A78" s="5" t="s">
        <v>127</v>
      </c>
      <c r="B78" s="5" t="s">
        <v>11</v>
      </c>
      <c r="C78" s="11">
        <v>45323</v>
      </c>
      <c r="D78" s="1" t="s">
        <v>124</v>
      </c>
    </row>
    <row r="79" spans="1:4" x14ac:dyDescent="0.35">
      <c r="A79" s="5" t="s">
        <v>128</v>
      </c>
      <c r="B79" s="5" t="s">
        <v>11</v>
      </c>
      <c r="C79" s="11">
        <v>45323</v>
      </c>
      <c r="D79" s="1" t="s">
        <v>120</v>
      </c>
    </row>
    <row r="80" spans="1:4" x14ac:dyDescent="0.35">
      <c r="A80" s="5" t="s">
        <v>129</v>
      </c>
      <c r="B80" s="5" t="s">
        <v>11</v>
      </c>
      <c r="C80" s="11">
        <v>45323</v>
      </c>
      <c r="D80" s="1" t="s">
        <v>120</v>
      </c>
    </row>
    <row r="81" spans="1:4" x14ac:dyDescent="0.35">
      <c r="A81" s="5" t="s">
        <v>130</v>
      </c>
      <c r="B81" s="5" t="s">
        <v>11</v>
      </c>
      <c r="C81" s="11">
        <v>45323</v>
      </c>
      <c r="D81" s="1" t="s">
        <v>120</v>
      </c>
    </row>
    <row r="82" spans="1:4" x14ac:dyDescent="0.35">
      <c r="A82" s="5" t="s">
        <v>131</v>
      </c>
      <c r="B82" s="5" t="s">
        <v>11</v>
      </c>
      <c r="C82" s="11">
        <v>45323</v>
      </c>
      <c r="D82" s="1" t="s">
        <v>124</v>
      </c>
    </row>
    <row r="83" spans="1:4" x14ac:dyDescent="0.35">
      <c r="A83" s="5" t="s">
        <v>132</v>
      </c>
      <c r="B83" s="5" t="s">
        <v>7</v>
      </c>
      <c r="C83" s="11">
        <v>45323</v>
      </c>
      <c r="D83" s="1" t="s">
        <v>124</v>
      </c>
    </row>
    <row r="84" spans="1:4" x14ac:dyDescent="0.35">
      <c r="A84" s="5" t="s">
        <v>133</v>
      </c>
      <c r="B84" s="5" t="s">
        <v>7</v>
      </c>
      <c r="C84" s="11">
        <v>45324</v>
      </c>
      <c r="D84" s="1"/>
    </row>
    <row r="85" spans="1:4" x14ac:dyDescent="0.35">
      <c r="A85" s="5" t="s">
        <v>134</v>
      </c>
      <c r="B85" s="5" t="s">
        <v>7</v>
      </c>
      <c r="C85" s="11">
        <v>45324</v>
      </c>
      <c r="D85" s="1"/>
    </row>
    <row r="86" spans="1:4" x14ac:dyDescent="0.35">
      <c r="A86" s="17" t="s">
        <v>135</v>
      </c>
      <c r="B86" s="5" t="s">
        <v>7</v>
      </c>
      <c r="C86" s="11">
        <v>45324</v>
      </c>
      <c r="D86" s="1"/>
    </row>
    <row r="87" spans="1:4" x14ac:dyDescent="0.35">
      <c r="A87" s="5" t="s">
        <v>136</v>
      </c>
      <c r="B87" s="5" t="s">
        <v>7</v>
      </c>
      <c r="C87" s="11">
        <v>45324</v>
      </c>
      <c r="D87" s="1"/>
    </row>
    <row r="88" spans="1:4" x14ac:dyDescent="0.35">
      <c r="A88" s="1" t="s">
        <v>131</v>
      </c>
      <c r="B88" s="1" t="s">
        <v>7</v>
      </c>
      <c r="C88" s="2">
        <v>45324</v>
      </c>
      <c r="D88" s="1"/>
    </row>
    <row r="89" spans="1:4" x14ac:dyDescent="0.35">
      <c r="A89" s="14" t="s">
        <v>137</v>
      </c>
      <c r="B89" s="1" t="s">
        <v>7</v>
      </c>
      <c r="C89" s="2">
        <v>45327</v>
      </c>
      <c r="D89" s="1"/>
    </row>
    <row r="90" spans="1:4" x14ac:dyDescent="0.35">
      <c r="A90" s="1" t="s">
        <v>138</v>
      </c>
      <c r="B90" s="1" t="s">
        <v>7</v>
      </c>
      <c r="C90" s="2">
        <v>45327</v>
      </c>
      <c r="D90" s="1" t="s">
        <v>139</v>
      </c>
    </row>
    <row r="91" spans="1:4" ht="13.5" customHeight="1" x14ac:dyDescent="0.35">
      <c r="A91" s="1" t="s">
        <v>140</v>
      </c>
      <c r="B91" s="1" t="s">
        <v>7</v>
      </c>
      <c r="C91" s="2">
        <v>45327</v>
      </c>
      <c r="D91" s="13" t="s">
        <v>141</v>
      </c>
    </row>
    <row r="92" spans="1:4" x14ac:dyDescent="0.35">
      <c r="A92" s="1" t="s">
        <v>142</v>
      </c>
      <c r="B92" s="1" t="s">
        <v>7</v>
      </c>
      <c r="C92" s="2">
        <v>45327</v>
      </c>
      <c r="D92" s="14"/>
    </row>
    <row r="93" spans="1:4" x14ac:dyDescent="0.35">
      <c r="A93" s="1" t="s">
        <v>143</v>
      </c>
      <c r="B93" s="1" t="s">
        <v>7</v>
      </c>
      <c r="C93" s="2">
        <v>45327</v>
      </c>
      <c r="D93" s="14" t="s">
        <v>144</v>
      </c>
    </row>
    <row r="94" spans="1:4" x14ac:dyDescent="0.35">
      <c r="A94" s="1" t="s">
        <v>145</v>
      </c>
      <c r="B94" s="1" t="s">
        <v>7</v>
      </c>
      <c r="C94" s="2">
        <v>45327</v>
      </c>
      <c r="D94" s="1"/>
    </row>
    <row r="95" spans="1:4" x14ac:dyDescent="0.35">
      <c r="A95" s="1" t="s">
        <v>146</v>
      </c>
      <c r="B95" s="1" t="s">
        <v>7</v>
      </c>
      <c r="C95" s="2">
        <v>45327</v>
      </c>
      <c r="D95" s="1" t="s">
        <v>147</v>
      </c>
    </row>
    <row r="96" spans="1:4" x14ac:dyDescent="0.35">
      <c r="A96" s="1" t="s">
        <v>148</v>
      </c>
      <c r="B96" s="1" t="s">
        <v>7</v>
      </c>
      <c r="C96" s="2">
        <v>45327</v>
      </c>
      <c r="D96" s="1"/>
    </row>
    <row r="97" spans="1:4" x14ac:dyDescent="0.35">
      <c r="A97" s="14" t="s">
        <v>149</v>
      </c>
      <c r="B97" s="1" t="s">
        <v>7</v>
      </c>
      <c r="C97" s="2">
        <v>45327</v>
      </c>
      <c r="D97" s="1"/>
    </row>
    <row r="98" spans="1:4" x14ac:dyDescent="0.35">
      <c r="A98" s="1" t="s">
        <v>150</v>
      </c>
      <c r="B98" s="1" t="s">
        <v>11</v>
      </c>
      <c r="C98" s="2">
        <v>45327</v>
      </c>
      <c r="D98" s="1"/>
    </row>
    <row r="99" spans="1:4" x14ac:dyDescent="0.35">
      <c r="A99" s="1" t="s">
        <v>151</v>
      </c>
      <c r="B99" s="1" t="s">
        <v>11</v>
      </c>
      <c r="C99" s="2">
        <v>45327</v>
      </c>
      <c r="D99" s="1"/>
    </row>
    <row r="100" spans="1:4" x14ac:dyDescent="0.35">
      <c r="A100" s="1" t="s">
        <v>152</v>
      </c>
      <c r="B100" s="1" t="s">
        <v>13</v>
      </c>
      <c r="C100" s="2">
        <v>45327</v>
      </c>
      <c r="D100" s="1"/>
    </row>
    <row r="101" spans="1:4" x14ac:dyDescent="0.35">
      <c r="A101" s="1" t="s">
        <v>153</v>
      </c>
      <c r="B101" s="1" t="s">
        <v>13</v>
      </c>
      <c r="C101" s="2">
        <v>45328</v>
      </c>
      <c r="D101" s="1"/>
    </row>
    <row r="102" spans="1:4" x14ac:dyDescent="0.35">
      <c r="A102" s="1" t="s">
        <v>154</v>
      </c>
      <c r="B102" s="1" t="s">
        <v>13</v>
      </c>
      <c r="C102" s="2">
        <v>45328</v>
      </c>
      <c r="D102" s="1" t="s">
        <v>155</v>
      </c>
    </row>
    <row r="103" spans="1:4" x14ac:dyDescent="0.35">
      <c r="A103" s="1" t="s">
        <v>156</v>
      </c>
      <c r="B103" s="1" t="s">
        <v>13</v>
      </c>
      <c r="C103" s="2">
        <v>45328</v>
      </c>
      <c r="D103" s="1" t="s">
        <v>157</v>
      </c>
    </row>
    <row r="104" spans="1:4" x14ac:dyDescent="0.35">
      <c r="A104" s="1" t="s">
        <v>158</v>
      </c>
      <c r="B104" s="1" t="s">
        <v>13</v>
      </c>
      <c r="C104" s="2">
        <v>45328</v>
      </c>
      <c r="D104" s="1"/>
    </row>
    <row r="105" spans="1:4" x14ac:dyDescent="0.35">
      <c r="A105" s="1" t="s">
        <v>159</v>
      </c>
      <c r="B105" s="1" t="s">
        <v>13</v>
      </c>
      <c r="C105" s="2">
        <v>45328</v>
      </c>
      <c r="D105" s="1"/>
    </row>
    <row r="106" spans="1:4" x14ac:dyDescent="0.35">
      <c r="A106" s="1" t="s">
        <v>160</v>
      </c>
      <c r="B106" s="1" t="s">
        <v>13</v>
      </c>
      <c r="C106" s="2">
        <v>45328</v>
      </c>
      <c r="D106" s="1" t="s">
        <v>12</v>
      </c>
    </row>
    <row r="107" spans="1:4" x14ac:dyDescent="0.35">
      <c r="A107" s="1" t="s">
        <v>161</v>
      </c>
      <c r="B107" s="1" t="s">
        <v>13</v>
      </c>
      <c r="C107" s="2">
        <v>45328</v>
      </c>
      <c r="D107" s="21" t="s">
        <v>162</v>
      </c>
    </row>
    <row r="108" spans="1:4" x14ac:dyDescent="0.35">
      <c r="A108" s="1" t="s">
        <v>163</v>
      </c>
      <c r="B108" s="1" t="s">
        <v>13</v>
      </c>
      <c r="C108" s="2">
        <v>45328</v>
      </c>
      <c r="D108" s="1"/>
    </row>
    <row r="109" spans="1:4" x14ac:dyDescent="0.35">
      <c r="A109" s="1" t="s">
        <v>164</v>
      </c>
      <c r="B109" s="1" t="s">
        <v>13</v>
      </c>
      <c r="C109" s="2">
        <v>45328</v>
      </c>
      <c r="D109" s="1" t="s">
        <v>165</v>
      </c>
    </row>
    <row r="110" spans="1:4" x14ac:dyDescent="0.35">
      <c r="A110" s="1" t="s">
        <v>166</v>
      </c>
      <c r="B110" s="1" t="s">
        <v>13</v>
      </c>
      <c r="C110" s="2">
        <v>45329</v>
      </c>
      <c r="D110" s="1" t="s">
        <v>167</v>
      </c>
    </row>
    <row r="111" spans="1:4" x14ac:dyDescent="0.35">
      <c r="A111" s="1" t="s">
        <v>168</v>
      </c>
      <c r="B111" s="1" t="s">
        <v>13</v>
      </c>
      <c r="C111" s="2">
        <v>45329</v>
      </c>
      <c r="D111" s="1" t="s">
        <v>169</v>
      </c>
    </row>
    <row r="112" spans="1:4" x14ac:dyDescent="0.35">
      <c r="A112" s="1" t="s">
        <v>170</v>
      </c>
      <c r="B112" s="1" t="s">
        <v>13</v>
      </c>
      <c r="C112" s="2">
        <v>45329</v>
      </c>
      <c r="D112" s="1"/>
    </row>
    <row r="113" spans="1:4" x14ac:dyDescent="0.35">
      <c r="A113" s="1" t="s">
        <v>171</v>
      </c>
      <c r="B113" s="1" t="s">
        <v>13</v>
      </c>
      <c r="C113" s="2">
        <v>45329</v>
      </c>
      <c r="D113" s="1"/>
    </row>
    <row r="114" spans="1:4" x14ac:dyDescent="0.35">
      <c r="A114" s="1" t="s">
        <v>172</v>
      </c>
      <c r="B114" s="1" t="s">
        <v>13</v>
      </c>
      <c r="C114" s="2">
        <v>45329</v>
      </c>
      <c r="D114" s="23" t="s">
        <v>173</v>
      </c>
    </row>
    <row r="115" spans="1:4" x14ac:dyDescent="0.35">
      <c r="A115" s="1" t="s">
        <v>174</v>
      </c>
      <c r="B115" s="1" t="s">
        <v>13</v>
      </c>
      <c r="C115" s="2">
        <v>45329</v>
      </c>
      <c r="D115" s="1" t="s">
        <v>12</v>
      </c>
    </row>
    <row r="116" spans="1:4" x14ac:dyDescent="0.35">
      <c r="A116" s="1" t="s">
        <v>175</v>
      </c>
      <c r="B116" s="1" t="s">
        <v>13</v>
      </c>
      <c r="C116" s="2">
        <v>45329</v>
      </c>
      <c r="D116" s="1"/>
    </row>
    <row r="117" spans="1:4" ht="101.5" x14ac:dyDescent="0.35">
      <c r="A117" s="1" t="s">
        <v>176</v>
      </c>
      <c r="B117" s="1" t="s">
        <v>13</v>
      </c>
      <c r="C117" s="2">
        <v>45329</v>
      </c>
      <c r="D117" s="24" t="s">
        <v>177</v>
      </c>
    </row>
    <row r="118" spans="1:4" x14ac:dyDescent="0.35">
      <c r="A118" s="1" t="s">
        <v>178</v>
      </c>
      <c r="B118" s="1" t="s">
        <v>13</v>
      </c>
      <c r="C118" s="2">
        <v>45329</v>
      </c>
      <c r="D118" s="1"/>
    </row>
    <row r="119" spans="1:4" x14ac:dyDescent="0.35">
      <c r="A119" s="1" t="s">
        <v>179</v>
      </c>
      <c r="B119" s="1" t="s">
        <v>13</v>
      </c>
      <c r="C119" s="2">
        <v>45329</v>
      </c>
      <c r="D119" s="1"/>
    </row>
    <row r="120" spans="1:4" x14ac:dyDescent="0.35">
      <c r="A120" s="1" t="s">
        <v>180</v>
      </c>
      <c r="B120" s="1" t="s">
        <v>13</v>
      </c>
      <c r="C120" s="2">
        <v>45330</v>
      </c>
      <c r="D120" s="1" t="s">
        <v>167</v>
      </c>
    </row>
    <row r="121" spans="1:4" x14ac:dyDescent="0.35">
      <c r="A121" s="1" t="s">
        <v>181</v>
      </c>
      <c r="B121" s="1" t="s">
        <v>7</v>
      </c>
      <c r="C121" s="2">
        <v>45330</v>
      </c>
      <c r="D121" s="1"/>
    </row>
    <row r="122" spans="1:4" x14ac:dyDescent="0.35">
      <c r="A122" s="1" t="s">
        <v>182</v>
      </c>
      <c r="B122" s="1" t="s">
        <v>11</v>
      </c>
      <c r="C122" s="2">
        <v>45330</v>
      </c>
      <c r="D122" s="1"/>
    </row>
    <row r="123" spans="1:4" x14ac:dyDescent="0.35">
      <c r="A123" s="1" t="s">
        <v>183</v>
      </c>
      <c r="B123" s="1" t="s">
        <v>11</v>
      </c>
      <c r="C123" s="2">
        <v>45330</v>
      </c>
      <c r="D123" s="1"/>
    </row>
    <row r="124" spans="1:4" x14ac:dyDescent="0.35">
      <c r="A124" s="1" t="s">
        <v>184</v>
      </c>
      <c r="B124" s="1" t="s">
        <v>11</v>
      </c>
      <c r="C124" s="2">
        <v>45330</v>
      </c>
      <c r="D124" s="1"/>
    </row>
    <row r="125" spans="1:4" x14ac:dyDescent="0.35">
      <c r="A125" s="1" t="s">
        <v>185</v>
      </c>
      <c r="B125" s="1" t="s">
        <v>7</v>
      </c>
      <c r="C125" s="2">
        <v>45330</v>
      </c>
      <c r="D125" s="15" t="s">
        <v>186</v>
      </c>
    </row>
    <row r="126" spans="1:4" x14ac:dyDescent="0.35">
      <c r="A126" s="1" t="s">
        <v>187</v>
      </c>
      <c r="B126" s="1" t="s">
        <v>7</v>
      </c>
      <c r="C126" s="2">
        <v>45330</v>
      </c>
      <c r="D126" s="1"/>
    </row>
    <row r="127" spans="1:4" x14ac:dyDescent="0.35">
      <c r="A127" s="1" t="s">
        <v>188</v>
      </c>
      <c r="B127" s="1" t="s">
        <v>13</v>
      </c>
      <c r="C127" s="2">
        <v>45330</v>
      </c>
      <c r="D127" s="1"/>
    </row>
    <row r="128" spans="1:4" x14ac:dyDescent="0.35">
      <c r="A128" s="1" t="s">
        <v>189</v>
      </c>
      <c r="B128" s="1" t="s">
        <v>13</v>
      </c>
      <c r="C128" s="2">
        <v>45331</v>
      </c>
      <c r="D128" s="1" t="s">
        <v>167</v>
      </c>
    </row>
    <row r="129" spans="1:4" x14ac:dyDescent="0.35">
      <c r="A129" s="1" t="s">
        <v>190</v>
      </c>
      <c r="B129" s="1" t="s">
        <v>13</v>
      </c>
      <c r="C129" s="2">
        <v>45331</v>
      </c>
      <c r="D129" s="1"/>
    </row>
    <row r="130" spans="1:4" x14ac:dyDescent="0.35">
      <c r="A130" s="1" t="s">
        <v>191</v>
      </c>
      <c r="B130" s="1" t="s">
        <v>11</v>
      </c>
      <c r="C130" s="2">
        <v>45331</v>
      </c>
      <c r="D130" s="1"/>
    </row>
    <row r="131" spans="1:4" x14ac:dyDescent="0.35">
      <c r="A131" s="1" t="s">
        <v>192</v>
      </c>
      <c r="B131" s="1" t="s">
        <v>13</v>
      </c>
      <c r="C131" s="2">
        <v>45331</v>
      </c>
      <c r="D131" s="1"/>
    </row>
    <row r="132" spans="1:4" x14ac:dyDescent="0.35">
      <c r="A132" s="1" t="s">
        <v>193</v>
      </c>
      <c r="B132" s="1" t="s">
        <v>13</v>
      </c>
      <c r="C132" s="2">
        <v>45331</v>
      </c>
      <c r="D132" s="1"/>
    </row>
    <row r="133" spans="1:4" x14ac:dyDescent="0.35">
      <c r="A133" s="1" t="s">
        <v>194</v>
      </c>
      <c r="B133" s="1" t="s">
        <v>13</v>
      </c>
      <c r="C133" s="2">
        <v>45331</v>
      </c>
      <c r="D133" s="1" t="s">
        <v>167</v>
      </c>
    </row>
    <row r="134" spans="1:4" x14ac:dyDescent="0.35">
      <c r="A134" s="1" t="s">
        <v>195</v>
      </c>
      <c r="B134" s="1" t="s">
        <v>13</v>
      </c>
      <c r="C134" s="2">
        <v>45331</v>
      </c>
      <c r="D134" s="1"/>
    </row>
    <row r="135" spans="1:4" x14ac:dyDescent="0.35">
      <c r="A135" s="1" t="s">
        <v>196</v>
      </c>
      <c r="B135" s="1" t="s">
        <v>13</v>
      </c>
      <c r="C135" s="2">
        <v>45334</v>
      </c>
      <c r="D135" s="1" t="s">
        <v>197</v>
      </c>
    </row>
    <row r="136" spans="1:4" x14ac:dyDescent="0.35">
      <c r="A136" s="1" t="s">
        <v>198</v>
      </c>
      <c r="B136" s="1" t="s">
        <v>13</v>
      </c>
      <c r="C136" s="2">
        <v>45334</v>
      </c>
      <c r="D136" s="1"/>
    </row>
    <row r="137" spans="1:4" x14ac:dyDescent="0.35">
      <c r="A137" s="1" t="s">
        <v>199</v>
      </c>
      <c r="B137" s="1" t="s">
        <v>13</v>
      </c>
      <c r="C137" s="2">
        <v>45334</v>
      </c>
      <c r="D137" s="1"/>
    </row>
    <row r="138" spans="1:4" x14ac:dyDescent="0.35">
      <c r="A138" s="1" t="s">
        <v>200</v>
      </c>
      <c r="B138" s="1" t="s">
        <v>13</v>
      </c>
      <c r="C138" s="2">
        <v>45334</v>
      </c>
      <c r="D138" s="1" t="s">
        <v>201</v>
      </c>
    </row>
    <row r="139" spans="1:4" x14ac:dyDescent="0.35">
      <c r="A139" s="1" t="s">
        <v>202</v>
      </c>
      <c r="B139" s="1" t="s">
        <v>13</v>
      </c>
      <c r="C139" s="2">
        <v>45334</v>
      </c>
      <c r="D139" s="1"/>
    </row>
    <row r="140" spans="1:4" x14ac:dyDescent="0.35">
      <c r="A140" s="1" t="s">
        <v>203</v>
      </c>
      <c r="B140" s="1" t="s">
        <v>13</v>
      </c>
      <c r="C140" s="2">
        <v>45334</v>
      </c>
      <c r="D140" s="1"/>
    </row>
    <row r="141" spans="1:4" x14ac:dyDescent="0.35">
      <c r="A141" s="1" t="s">
        <v>204</v>
      </c>
      <c r="B141" s="1" t="s">
        <v>13</v>
      </c>
      <c r="C141" s="2">
        <v>45334</v>
      </c>
      <c r="D141" s="1"/>
    </row>
    <row r="142" spans="1:4" x14ac:dyDescent="0.35">
      <c r="A142" s="1" t="s">
        <v>205</v>
      </c>
      <c r="B142" s="1" t="s">
        <v>13</v>
      </c>
      <c r="C142" s="2">
        <v>45334</v>
      </c>
      <c r="D142" s="1"/>
    </row>
    <row r="143" spans="1:4" x14ac:dyDescent="0.35">
      <c r="A143" s="1" t="s">
        <v>206</v>
      </c>
      <c r="B143" s="1" t="s">
        <v>13</v>
      </c>
      <c r="C143" s="2">
        <v>45334</v>
      </c>
      <c r="D143" s="1" t="s">
        <v>201</v>
      </c>
    </row>
    <row r="144" spans="1:4" x14ac:dyDescent="0.35">
      <c r="A144" s="1" t="s">
        <v>207</v>
      </c>
      <c r="B144" s="1" t="s">
        <v>13</v>
      </c>
      <c r="C144" s="2">
        <v>45334</v>
      </c>
      <c r="D144" s="1"/>
    </row>
    <row r="145" spans="1:4" x14ac:dyDescent="0.35">
      <c r="A145" s="1" t="s">
        <v>208</v>
      </c>
      <c r="B145" s="1" t="s">
        <v>13</v>
      </c>
      <c r="C145" s="2">
        <v>45334</v>
      </c>
      <c r="D145" s="1" t="s">
        <v>209</v>
      </c>
    </row>
    <row r="146" spans="1:4" x14ac:dyDescent="0.35">
      <c r="A146" s="1" t="s">
        <v>210</v>
      </c>
      <c r="B146" s="1" t="s">
        <v>13</v>
      </c>
      <c r="C146" s="2">
        <v>45334</v>
      </c>
      <c r="D146" s="1" t="s">
        <v>211</v>
      </c>
    </row>
    <row r="147" spans="1:4" x14ac:dyDescent="0.35">
      <c r="A147" s="1" t="s">
        <v>212</v>
      </c>
      <c r="B147" s="1" t="s">
        <v>13</v>
      </c>
      <c r="C147" s="2">
        <v>45334</v>
      </c>
      <c r="D147" s="1"/>
    </row>
    <row r="148" spans="1:4" x14ac:dyDescent="0.35">
      <c r="A148" s="1" t="s">
        <v>213</v>
      </c>
      <c r="B148" s="1" t="s">
        <v>13</v>
      </c>
      <c r="C148" s="2">
        <v>45334</v>
      </c>
      <c r="D148" s="1" t="s">
        <v>214</v>
      </c>
    </row>
    <row r="149" spans="1:4" x14ac:dyDescent="0.35">
      <c r="A149" s="1" t="s">
        <v>215</v>
      </c>
      <c r="B149" s="1" t="s">
        <v>13</v>
      </c>
      <c r="C149" s="2">
        <v>45334</v>
      </c>
      <c r="D149" s="34" t="s">
        <v>216</v>
      </c>
    </row>
    <row r="150" spans="1:4" x14ac:dyDescent="0.35">
      <c r="A150" s="1" t="s">
        <v>217</v>
      </c>
      <c r="B150" s="1" t="s">
        <v>218</v>
      </c>
      <c r="C150" s="2">
        <v>45336</v>
      </c>
      <c r="D150" s="1"/>
    </row>
    <row r="151" spans="1:4" x14ac:dyDescent="0.35">
      <c r="A151" s="1" t="s">
        <v>219</v>
      </c>
      <c r="B151" s="1" t="s">
        <v>7</v>
      </c>
      <c r="C151" s="2">
        <v>45336</v>
      </c>
      <c r="D151" s="35" t="s">
        <v>220</v>
      </c>
    </row>
    <row r="152" spans="1:4" x14ac:dyDescent="0.35">
      <c r="A152" s="1" t="s">
        <v>221</v>
      </c>
      <c r="B152" s="1" t="s">
        <v>11</v>
      </c>
      <c r="C152" s="2">
        <v>45336</v>
      </c>
      <c r="D152" s="1"/>
    </row>
    <row r="153" spans="1:4" x14ac:dyDescent="0.35">
      <c r="A153" s="1" t="s">
        <v>222</v>
      </c>
      <c r="B153" s="1" t="s">
        <v>7</v>
      </c>
      <c r="C153" s="2">
        <v>45336</v>
      </c>
      <c r="D153" s="1" t="s">
        <v>223</v>
      </c>
    </row>
    <row r="154" spans="1:4" x14ac:dyDescent="0.35">
      <c r="A154" s="1" t="s">
        <v>224</v>
      </c>
      <c r="B154" s="1" t="s">
        <v>7</v>
      </c>
      <c r="C154" s="2">
        <v>45336</v>
      </c>
      <c r="D154" s="1"/>
    </row>
    <row r="155" spans="1:4" x14ac:dyDescent="0.35">
      <c r="A155" s="1" t="s">
        <v>225</v>
      </c>
      <c r="B155" s="1" t="s">
        <v>7</v>
      </c>
      <c r="C155" s="2">
        <v>45336</v>
      </c>
      <c r="D155" s="1"/>
    </row>
    <row r="156" spans="1:4" x14ac:dyDescent="0.35">
      <c r="A156" s="1" t="s">
        <v>226</v>
      </c>
      <c r="B156" s="1" t="s">
        <v>11</v>
      </c>
      <c r="C156" s="2">
        <v>45336</v>
      </c>
      <c r="D156" s="35" t="s">
        <v>227</v>
      </c>
    </row>
    <row r="157" spans="1:4" x14ac:dyDescent="0.35">
      <c r="A157" s="1" t="s">
        <v>228</v>
      </c>
      <c r="B157" s="1" t="s">
        <v>11</v>
      </c>
      <c r="C157" s="2">
        <v>45336</v>
      </c>
      <c r="D157" s="1"/>
    </row>
    <row r="158" spans="1:4" x14ac:dyDescent="0.35">
      <c r="A158" s="1" t="s">
        <v>229</v>
      </c>
      <c r="B158" s="1" t="s">
        <v>11</v>
      </c>
      <c r="C158" s="2">
        <v>45336</v>
      </c>
      <c r="D158" s="1"/>
    </row>
    <row r="159" spans="1:4" x14ac:dyDescent="0.35">
      <c r="A159" s="1" t="s">
        <v>230</v>
      </c>
      <c r="B159" s="1" t="s">
        <v>12</v>
      </c>
      <c r="C159" s="2">
        <v>45336</v>
      </c>
      <c r="D159" s="1"/>
    </row>
    <row r="160" spans="1:4" x14ac:dyDescent="0.35">
      <c r="A160" s="1" t="s">
        <v>231</v>
      </c>
      <c r="B160" s="1" t="s">
        <v>11</v>
      </c>
      <c r="C160" s="2">
        <v>45336</v>
      </c>
      <c r="D160" s="1"/>
    </row>
    <row r="161" spans="1:4" x14ac:dyDescent="0.35">
      <c r="A161" s="1" t="s">
        <v>232</v>
      </c>
      <c r="B161" s="1" t="s">
        <v>11</v>
      </c>
      <c r="C161" s="2">
        <v>45336</v>
      </c>
      <c r="D161" s="1"/>
    </row>
    <row r="162" spans="1:4" x14ac:dyDescent="0.35">
      <c r="A162" s="1" t="s">
        <v>233</v>
      </c>
      <c r="B162" s="1" t="s">
        <v>11</v>
      </c>
      <c r="C162" s="2">
        <v>45336</v>
      </c>
      <c r="D162" s="1"/>
    </row>
    <row r="163" spans="1:4" x14ac:dyDescent="0.35">
      <c r="A163" s="1" t="s">
        <v>234</v>
      </c>
      <c r="B163" s="1" t="s">
        <v>11</v>
      </c>
      <c r="C163" s="2">
        <v>45337</v>
      </c>
      <c r="D163" s="1"/>
    </row>
    <row r="164" spans="1:4" x14ac:dyDescent="0.35">
      <c r="A164" s="1" t="s">
        <v>235</v>
      </c>
      <c r="B164" s="1" t="s">
        <v>12</v>
      </c>
      <c r="C164" s="2">
        <v>45337</v>
      </c>
      <c r="D164" s="1"/>
    </row>
    <row r="165" spans="1:4" x14ac:dyDescent="0.35">
      <c r="A165" s="1" t="s">
        <v>101</v>
      </c>
      <c r="B165" s="1" t="s">
        <v>7</v>
      </c>
      <c r="C165" s="2">
        <v>45337</v>
      </c>
      <c r="D165" s="1"/>
    </row>
    <row r="166" spans="1:4" x14ac:dyDescent="0.35">
      <c r="A166" s="1" t="s">
        <v>236</v>
      </c>
      <c r="B166" s="1" t="s">
        <v>11</v>
      </c>
      <c r="C166" s="2">
        <v>45337</v>
      </c>
      <c r="D166" s="1"/>
    </row>
    <row r="167" spans="1:4" x14ac:dyDescent="0.35">
      <c r="A167" s="1" t="s">
        <v>237</v>
      </c>
      <c r="B167" s="1" t="s">
        <v>12</v>
      </c>
      <c r="C167" s="2">
        <v>45337</v>
      </c>
      <c r="D167" s="1"/>
    </row>
    <row r="168" spans="1:4" x14ac:dyDescent="0.35">
      <c r="A168" s="1" t="s">
        <v>238</v>
      </c>
      <c r="B168" s="1" t="s">
        <v>7</v>
      </c>
      <c r="C168" s="2">
        <v>45337</v>
      </c>
      <c r="D168" s="35" t="s">
        <v>239</v>
      </c>
    </row>
    <row r="169" spans="1:4" x14ac:dyDescent="0.35">
      <c r="A169" s="1" t="s">
        <v>240</v>
      </c>
      <c r="B169" s="1" t="s">
        <v>7</v>
      </c>
      <c r="C169" s="2">
        <v>45337</v>
      </c>
      <c r="D169" s="35" t="s">
        <v>241</v>
      </c>
    </row>
    <row r="170" spans="1:4" x14ac:dyDescent="0.35">
      <c r="A170" t="s">
        <v>242</v>
      </c>
      <c r="B170" s="1" t="s">
        <v>243</v>
      </c>
      <c r="C170" s="2">
        <v>45337</v>
      </c>
      <c r="D170" s="1"/>
    </row>
    <row r="171" spans="1:4" x14ac:dyDescent="0.35">
      <c r="A171" s="1" t="s">
        <v>244</v>
      </c>
      <c r="B171" s="1" t="s">
        <v>11</v>
      </c>
      <c r="C171" s="2">
        <v>45337</v>
      </c>
      <c r="D171" s="1"/>
    </row>
    <row r="172" spans="1:4" x14ac:dyDescent="0.35">
      <c r="A172" s="1" t="s">
        <v>245</v>
      </c>
      <c r="B172" s="1" t="s">
        <v>12</v>
      </c>
      <c r="C172" s="2">
        <v>45337</v>
      </c>
      <c r="D172" s="1"/>
    </row>
    <row r="173" spans="1:4" x14ac:dyDescent="0.35">
      <c r="A173" s="1" t="s">
        <v>246</v>
      </c>
      <c r="B173" s="1" t="s">
        <v>11</v>
      </c>
      <c r="C173" s="2">
        <v>45337</v>
      </c>
      <c r="D173" s="1"/>
    </row>
    <row r="174" spans="1:4" x14ac:dyDescent="0.35">
      <c r="A174" s="1" t="s">
        <v>247</v>
      </c>
      <c r="B174" s="1" t="s">
        <v>11</v>
      </c>
      <c r="C174" s="2">
        <v>45337</v>
      </c>
      <c r="D174" s="1"/>
    </row>
    <row r="175" spans="1:4" x14ac:dyDescent="0.35">
      <c r="A175" s="1" t="s">
        <v>248</v>
      </c>
      <c r="B175" s="1" t="s">
        <v>11</v>
      </c>
      <c r="C175" s="2">
        <v>45337</v>
      </c>
      <c r="D175" s="1"/>
    </row>
    <row r="176" spans="1:4" x14ac:dyDescent="0.35">
      <c r="A176" s="1" t="s">
        <v>249</v>
      </c>
      <c r="B176" s="1" t="s">
        <v>11</v>
      </c>
      <c r="C176" s="2">
        <v>45337</v>
      </c>
      <c r="D176" s="1"/>
    </row>
    <row r="177" spans="1:4" x14ac:dyDescent="0.35">
      <c r="A177" s="1" t="s">
        <v>109</v>
      </c>
      <c r="B177" s="1" t="s">
        <v>7</v>
      </c>
      <c r="C177" s="2">
        <v>45337</v>
      </c>
      <c r="D177" s="1"/>
    </row>
    <row r="178" spans="1:4" x14ac:dyDescent="0.35">
      <c r="A178" s="1" t="s">
        <v>250</v>
      </c>
      <c r="B178" s="1" t="s">
        <v>7</v>
      </c>
      <c r="C178" s="2">
        <v>45337</v>
      </c>
      <c r="D178" s="1"/>
    </row>
    <row r="179" spans="1:4" x14ac:dyDescent="0.35">
      <c r="A179" s="1" t="s">
        <v>251</v>
      </c>
      <c r="B179" s="1" t="s">
        <v>11</v>
      </c>
      <c r="C179" s="2">
        <v>45342</v>
      </c>
      <c r="D179" s="1"/>
    </row>
    <row r="180" spans="1:4" x14ac:dyDescent="0.35">
      <c r="A180" s="1" t="s">
        <v>252</v>
      </c>
      <c r="B180" s="1" t="s">
        <v>7</v>
      </c>
      <c r="C180" s="2">
        <v>45342</v>
      </c>
      <c r="D180" s="1"/>
    </row>
    <row r="181" spans="1:4" x14ac:dyDescent="0.35">
      <c r="A181" s="1" t="s">
        <v>253</v>
      </c>
      <c r="B181" s="1" t="s">
        <v>11</v>
      </c>
      <c r="C181" s="2">
        <v>45342</v>
      </c>
      <c r="D181" s="1"/>
    </row>
    <row r="182" spans="1:4" x14ac:dyDescent="0.35">
      <c r="A182" s="1" t="s">
        <v>254</v>
      </c>
      <c r="B182" s="1" t="s">
        <v>11</v>
      </c>
      <c r="C182" s="2">
        <v>45342</v>
      </c>
      <c r="D182" s="1"/>
    </row>
    <row r="183" spans="1:4" x14ac:dyDescent="0.35">
      <c r="A183" s="1" t="s">
        <v>255</v>
      </c>
      <c r="B183" s="1" t="s">
        <v>11</v>
      </c>
      <c r="C183" s="2">
        <v>45342</v>
      </c>
      <c r="D183" s="1"/>
    </row>
    <row r="184" spans="1:4" x14ac:dyDescent="0.35">
      <c r="A184" s="1" t="s">
        <v>256</v>
      </c>
      <c r="B184" s="1" t="s">
        <v>108</v>
      </c>
      <c r="C184" s="2">
        <v>45342</v>
      </c>
      <c r="D184" s="1"/>
    </row>
    <row r="185" spans="1:4" x14ac:dyDescent="0.35">
      <c r="A185" s="1" t="s">
        <v>257</v>
      </c>
      <c r="B185" s="1" t="s">
        <v>7</v>
      </c>
      <c r="C185" s="2">
        <v>45342</v>
      </c>
      <c r="D185" s="35" t="s">
        <v>258</v>
      </c>
    </row>
    <row r="186" spans="1:4" x14ac:dyDescent="0.35">
      <c r="A186" s="1" t="s">
        <v>259</v>
      </c>
      <c r="B186" s="1" t="s">
        <v>7</v>
      </c>
      <c r="C186" s="2">
        <v>45342</v>
      </c>
      <c r="D186" s="1"/>
    </row>
    <row r="187" spans="1:4" x14ac:dyDescent="0.35">
      <c r="A187" s="1" t="s">
        <v>260</v>
      </c>
      <c r="B187" s="1" t="s">
        <v>7</v>
      </c>
      <c r="C187" s="2">
        <v>45342</v>
      </c>
      <c r="D187" s="1"/>
    </row>
    <row r="188" spans="1:4" x14ac:dyDescent="0.35">
      <c r="A188" s="1" t="s">
        <v>261</v>
      </c>
      <c r="B188" s="1" t="s">
        <v>7</v>
      </c>
      <c r="C188" s="2">
        <v>45342</v>
      </c>
      <c r="D188" s="1"/>
    </row>
    <row r="189" spans="1:4" x14ac:dyDescent="0.35">
      <c r="A189" t="s">
        <v>262</v>
      </c>
      <c r="B189" s="1" t="s">
        <v>13</v>
      </c>
      <c r="C189" s="2">
        <v>45342</v>
      </c>
      <c r="D189" s="35" t="s">
        <v>263</v>
      </c>
    </row>
    <row r="190" spans="1:4" x14ac:dyDescent="0.35">
      <c r="A190" s="1" t="s">
        <v>264</v>
      </c>
      <c r="B190" s="1" t="s">
        <v>13</v>
      </c>
      <c r="C190" s="2">
        <v>45342</v>
      </c>
      <c r="D190" s="35" t="s">
        <v>265</v>
      </c>
    </row>
    <row r="191" spans="1:4" x14ac:dyDescent="0.35">
      <c r="A191" s="1" t="s">
        <v>266</v>
      </c>
      <c r="B191" s="1" t="s">
        <v>13</v>
      </c>
      <c r="C191" s="2">
        <v>45342</v>
      </c>
      <c r="D191" s="1"/>
    </row>
    <row r="192" spans="1:4" x14ac:dyDescent="0.35">
      <c r="A192" s="1" t="s">
        <v>267</v>
      </c>
      <c r="B192" s="1" t="s">
        <v>13</v>
      </c>
      <c r="C192" s="2">
        <v>45342</v>
      </c>
      <c r="D192" s="1"/>
    </row>
    <row r="193" spans="1:4" x14ac:dyDescent="0.35">
      <c r="A193" s="1" t="s">
        <v>268</v>
      </c>
      <c r="B193" s="1" t="s">
        <v>13</v>
      </c>
      <c r="C193" s="2">
        <v>45342</v>
      </c>
      <c r="D193" s="1"/>
    </row>
    <row r="194" spans="1:4" x14ac:dyDescent="0.35">
      <c r="A194" s="1" t="s">
        <v>269</v>
      </c>
      <c r="B194" s="1" t="s">
        <v>13</v>
      </c>
      <c r="C194" s="2">
        <v>45342</v>
      </c>
      <c r="D194" s="1"/>
    </row>
    <row r="195" spans="1:4" x14ac:dyDescent="0.35">
      <c r="A195" s="1" t="s">
        <v>270</v>
      </c>
      <c r="B195" s="1" t="s">
        <v>13</v>
      </c>
      <c r="C195" s="2">
        <v>45343</v>
      </c>
      <c r="D195" s="1"/>
    </row>
    <row r="196" spans="1:4" x14ac:dyDescent="0.35">
      <c r="A196" s="1" t="s">
        <v>271</v>
      </c>
      <c r="B196" s="1" t="s">
        <v>13</v>
      </c>
      <c r="C196" s="2">
        <v>45343</v>
      </c>
      <c r="D196" s="1" t="s">
        <v>272</v>
      </c>
    </row>
    <row r="197" spans="1:4" x14ac:dyDescent="0.35">
      <c r="A197" s="1" t="s">
        <v>273</v>
      </c>
      <c r="B197" s="1" t="s">
        <v>7</v>
      </c>
      <c r="C197" s="2">
        <v>45343</v>
      </c>
      <c r="D197" s="1" t="s">
        <v>12</v>
      </c>
    </row>
    <row r="198" spans="1:4" ht="72.5" x14ac:dyDescent="0.35">
      <c r="A198" s="1" t="s">
        <v>274</v>
      </c>
      <c r="B198" s="1" t="s">
        <v>11</v>
      </c>
      <c r="C198" s="2">
        <v>45344</v>
      </c>
      <c r="D198" s="12" t="s">
        <v>275</v>
      </c>
    </row>
    <row r="199" spans="1:4" x14ac:dyDescent="0.35">
      <c r="A199" s="1" t="s">
        <v>276</v>
      </c>
      <c r="B199" s="1" t="s">
        <v>13</v>
      </c>
      <c r="C199" s="2">
        <v>45343</v>
      </c>
      <c r="D199" s="1"/>
    </row>
    <row r="200" spans="1:4" x14ac:dyDescent="0.35">
      <c r="A200" s="1" t="s">
        <v>276</v>
      </c>
      <c r="B200" s="1" t="s">
        <v>13</v>
      </c>
      <c r="C200" s="2">
        <v>45343</v>
      </c>
      <c r="D200" s="1"/>
    </row>
    <row r="201" spans="1:4" x14ac:dyDescent="0.35">
      <c r="A201" s="1" t="s">
        <v>277</v>
      </c>
      <c r="B201" s="1" t="s">
        <v>13</v>
      </c>
      <c r="C201" s="2">
        <v>45343</v>
      </c>
      <c r="D201" s="1"/>
    </row>
    <row r="202" spans="1:4" x14ac:dyDescent="0.35">
      <c r="A202" s="1" t="s">
        <v>278</v>
      </c>
      <c r="B202" s="1" t="s">
        <v>13</v>
      </c>
      <c r="C202" s="2">
        <v>45343</v>
      </c>
      <c r="D202" s="1" t="s">
        <v>279</v>
      </c>
    </row>
    <row r="203" spans="1:4" x14ac:dyDescent="0.35">
      <c r="A203" s="1" t="s">
        <v>280</v>
      </c>
      <c r="B203" s="1" t="s">
        <v>13</v>
      </c>
      <c r="C203" s="2">
        <v>45343</v>
      </c>
      <c r="D203" s="1"/>
    </row>
    <row r="204" spans="1:4" x14ac:dyDescent="0.35">
      <c r="A204" s="1" t="s">
        <v>281</v>
      </c>
      <c r="B204" s="1" t="s">
        <v>13</v>
      </c>
      <c r="C204" s="2">
        <v>45343</v>
      </c>
      <c r="D204" s="1"/>
    </row>
    <row r="205" spans="1:4" x14ac:dyDescent="0.35">
      <c r="A205" s="1" t="s">
        <v>282</v>
      </c>
      <c r="B205" s="1" t="s">
        <v>13</v>
      </c>
      <c r="C205" s="2">
        <v>45343</v>
      </c>
      <c r="D205" s="1"/>
    </row>
    <row r="206" spans="1:4" x14ac:dyDescent="0.35">
      <c r="A206" s="1" t="s">
        <v>283</v>
      </c>
      <c r="B206" s="1" t="s">
        <v>13</v>
      </c>
      <c r="C206" s="2">
        <v>45343</v>
      </c>
      <c r="D206" s="1"/>
    </row>
    <row r="207" spans="1:4" x14ac:dyDescent="0.35">
      <c r="A207" s="1" t="s">
        <v>284</v>
      </c>
      <c r="B207" s="1" t="s">
        <v>13</v>
      </c>
      <c r="C207" s="2">
        <v>45343</v>
      </c>
      <c r="D207" s="1"/>
    </row>
    <row r="208" spans="1:4" x14ac:dyDescent="0.35">
      <c r="A208" s="1" t="s">
        <v>285</v>
      </c>
      <c r="B208" s="1" t="s">
        <v>13</v>
      </c>
      <c r="C208" s="2">
        <v>45343</v>
      </c>
      <c r="D208" s="1"/>
    </row>
    <row r="209" spans="1:4" x14ac:dyDescent="0.35">
      <c r="A209" s="1" t="s">
        <v>47</v>
      </c>
      <c r="B209" s="1" t="s">
        <v>13</v>
      </c>
      <c r="C209" s="2">
        <v>45343</v>
      </c>
      <c r="D209" s="1" t="s">
        <v>286</v>
      </c>
    </row>
    <row r="210" spans="1:4" x14ac:dyDescent="0.35">
      <c r="A210" s="1" t="s">
        <v>287</v>
      </c>
      <c r="B210" s="1" t="s">
        <v>13</v>
      </c>
      <c r="C210" s="2">
        <v>45343</v>
      </c>
      <c r="D210" s="1"/>
    </row>
    <row r="211" spans="1:4" x14ac:dyDescent="0.35">
      <c r="A211" s="1" t="s">
        <v>288</v>
      </c>
      <c r="B211" s="1" t="s">
        <v>13</v>
      </c>
      <c r="C211" s="2">
        <v>45344</v>
      </c>
      <c r="D211" s="1"/>
    </row>
    <row r="212" spans="1:4" x14ac:dyDescent="0.35">
      <c r="A212" s="1" t="s">
        <v>289</v>
      </c>
      <c r="B212" s="1" t="s">
        <v>11</v>
      </c>
      <c r="C212" s="2">
        <v>45344</v>
      </c>
      <c r="D212" s="1" t="s">
        <v>290</v>
      </c>
    </row>
    <row r="213" spans="1:4" x14ac:dyDescent="0.35">
      <c r="A213" s="1" t="s">
        <v>291</v>
      </c>
      <c r="B213" s="1" t="s">
        <v>13</v>
      </c>
      <c r="C213" s="2">
        <v>45344</v>
      </c>
      <c r="D213" s="1"/>
    </row>
    <row r="214" spans="1:4" x14ac:dyDescent="0.35">
      <c r="A214" s="1" t="s">
        <v>292</v>
      </c>
      <c r="B214" s="1" t="s">
        <v>11</v>
      </c>
      <c r="C214" s="2">
        <v>45344</v>
      </c>
      <c r="D214" s="1"/>
    </row>
    <row r="215" spans="1:4" x14ac:dyDescent="0.35">
      <c r="A215" s="1" t="s">
        <v>293</v>
      </c>
      <c r="B215" s="1" t="s">
        <v>11</v>
      </c>
      <c r="C215" s="2">
        <v>45344</v>
      </c>
      <c r="D215" s="1"/>
    </row>
    <row r="216" spans="1:4" x14ac:dyDescent="0.35">
      <c r="A216" s="1" t="s">
        <v>294</v>
      </c>
      <c r="B216" s="1" t="s">
        <v>11</v>
      </c>
      <c r="C216" s="2">
        <v>45344</v>
      </c>
      <c r="D216" s="1"/>
    </row>
    <row r="217" spans="1:4" x14ac:dyDescent="0.35">
      <c r="A217" s="1" t="s">
        <v>295</v>
      </c>
      <c r="B217" s="1" t="s">
        <v>7</v>
      </c>
      <c r="C217" s="2">
        <v>45344</v>
      </c>
      <c r="D217" s="1"/>
    </row>
    <row r="218" spans="1:4" x14ac:dyDescent="0.35">
      <c r="A218" s="1" t="s">
        <v>296</v>
      </c>
      <c r="B218" s="1" t="s">
        <v>7</v>
      </c>
      <c r="C218" s="2">
        <v>45344</v>
      </c>
      <c r="D218" s="1"/>
    </row>
    <row r="219" spans="1:4" x14ac:dyDescent="0.35">
      <c r="A219" s="1" t="s">
        <v>297</v>
      </c>
      <c r="B219" s="1" t="s">
        <v>7</v>
      </c>
      <c r="C219" s="2">
        <v>45344</v>
      </c>
      <c r="D219" s="1"/>
    </row>
    <row r="220" spans="1:4" x14ac:dyDescent="0.35">
      <c r="A220" s="1" t="s">
        <v>298</v>
      </c>
      <c r="B220" s="1" t="s">
        <v>7</v>
      </c>
      <c r="C220" s="2">
        <v>45344</v>
      </c>
      <c r="D220" s="1"/>
    </row>
    <row r="221" spans="1:4" x14ac:dyDescent="0.35">
      <c r="A221" s="1" t="s">
        <v>299</v>
      </c>
      <c r="B221" s="1" t="s">
        <v>7</v>
      </c>
      <c r="C221" s="2">
        <v>45344</v>
      </c>
      <c r="D221" s="1"/>
    </row>
    <row r="222" spans="1:4" x14ac:dyDescent="0.35">
      <c r="A222" s="1" t="s">
        <v>300</v>
      </c>
      <c r="B222" s="1" t="s">
        <v>11</v>
      </c>
      <c r="C222" s="2">
        <v>45344</v>
      </c>
      <c r="D222" s="1"/>
    </row>
    <row r="223" spans="1:4" x14ac:dyDescent="0.35">
      <c r="A223" s="1" t="s">
        <v>274</v>
      </c>
      <c r="B223" s="1" t="s">
        <v>11</v>
      </c>
      <c r="C223" s="2">
        <v>45344</v>
      </c>
      <c r="D223" s="1" t="s">
        <v>301</v>
      </c>
    </row>
    <row r="224" spans="1:4" x14ac:dyDescent="0.35">
      <c r="A224" s="1" t="s">
        <v>302</v>
      </c>
      <c r="B224" s="1" t="s">
        <v>13</v>
      </c>
      <c r="C224" s="2">
        <v>45344</v>
      </c>
      <c r="D224" s="1"/>
    </row>
    <row r="225" spans="1:4" x14ac:dyDescent="0.35">
      <c r="A225" s="1" t="s">
        <v>303</v>
      </c>
      <c r="B225" s="1" t="s">
        <v>13</v>
      </c>
      <c r="C225" s="2">
        <v>45344</v>
      </c>
      <c r="D225" s="35" t="s">
        <v>304</v>
      </c>
    </row>
    <row r="226" spans="1:4" x14ac:dyDescent="0.35">
      <c r="A226" s="1" t="s">
        <v>305</v>
      </c>
      <c r="B226" s="1" t="s">
        <v>7</v>
      </c>
      <c r="C226" s="2">
        <v>45345</v>
      </c>
      <c r="D226" s="1"/>
    </row>
    <row r="227" spans="1:4" x14ac:dyDescent="0.35">
      <c r="A227" s="1" t="s">
        <v>306</v>
      </c>
      <c r="B227" s="1" t="s">
        <v>11</v>
      </c>
      <c r="C227" s="2">
        <v>45345</v>
      </c>
      <c r="D227" s="1"/>
    </row>
    <row r="228" spans="1:4" x14ac:dyDescent="0.35">
      <c r="A228" s="1" t="s">
        <v>307</v>
      </c>
      <c r="B228" s="1" t="s">
        <v>11</v>
      </c>
      <c r="C228" s="2">
        <v>45345</v>
      </c>
      <c r="D228" s="35" t="s">
        <v>308</v>
      </c>
    </row>
    <row r="229" spans="1:4" x14ac:dyDescent="0.35">
      <c r="A229" s="1" t="s">
        <v>309</v>
      </c>
      <c r="B229" s="1" t="s">
        <v>11</v>
      </c>
      <c r="C229" s="2">
        <v>45345</v>
      </c>
      <c r="D229" s="1"/>
    </row>
    <row r="230" spans="1:4" x14ac:dyDescent="0.35">
      <c r="A230" s="1" t="s">
        <v>310</v>
      </c>
      <c r="B230" s="1" t="s">
        <v>11</v>
      </c>
      <c r="C230" s="2">
        <v>45345</v>
      </c>
      <c r="D230" s="1"/>
    </row>
    <row r="231" spans="1:4" x14ac:dyDescent="0.35">
      <c r="A231" s="1" t="s">
        <v>311</v>
      </c>
      <c r="B231" s="1" t="s">
        <v>11</v>
      </c>
      <c r="C231" s="2">
        <v>45345</v>
      </c>
      <c r="D231" s="1"/>
    </row>
    <row r="232" spans="1:4" x14ac:dyDescent="0.35">
      <c r="A232" s="1" t="s">
        <v>77</v>
      </c>
      <c r="B232" s="1" t="s">
        <v>11</v>
      </c>
      <c r="C232" s="2">
        <v>45345</v>
      </c>
      <c r="D232" s="37" t="s">
        <v>312</v>
      </c>
    </row>
    <row r="233" spans="1:4" x14ac:dyDescent="0.35">
      <c r="A233" s="1" t="s">
        <v>14</v>
      </c>
      <c r="B233" s="1" t="s">
        <v>7</v>
      </c>
      <c r="C233" s="2">
        <v>45345</v>
      </c>
      <c r="D233" s="1"/>
    </row>
    <row r="234" spans="1:4" x14ac:dyDescent="0.35">
      <c r="A234" s="1" t="s">
        <v>14</v>
      </c>
      <c r="B234" s="1" t="s">
        <v>13</v>
      </c>
      <c r="C234" s="2">
        <v>45347</v>
      </c>
      <c r="D234" s="1"/>
    </row>
    <row r="235" spans="1:4" x14ac:dyDescent="0.35">
      <c r="A235" s="1" t="s">
        <v>14</v>
      </c>
      <c r="B235" s="1" t="s">
        <v>13</v>
      </c>
      <c r="C235" s="2">
        <v>45347</v>
      </c>
      <c r="D235" s="1"/>
    </row>
    <row r="236" spans="1:4" x14ac:dyDescent="0.35">
      <c r="A236" s="1" t="s">
        <v>14</v>
      </c>
      <c r="B236" s="1" t="s">
        <v>13</v>
      </c>
      <c r="C236" s="2">
        <v>45347</v>
      </c>
      <c r="D236" s="1"/>
    </row>
    <row r="237" spans="1:4" x14ac:dyDescent="0.35">
      <c r="A237" s="1"/>
      <c r="B237" s="1"/>
      <c r="C237" s="1"/>
      <c r="D237" s="1"/>
    </row>
    <row r="238" spans="1:4" x14ac:dyDescent="0.35">
      <c r="A238" s="1"/>
      <c r="B238" s="1"/>
      <c r="C238" s="1"/>
      <c r="D238" s="1"/>
    </row>
    <row r="239" spans="1:4" x14ac:dyDescent="0.35">
      <c r="A239" s="1"/>
      <c r="B239" s="1"/>
      <c r="C239" s="1"/>
      <c r="D239" s="1"/>
    </row>
    <row r="240" spans="1:4" x14ac:dyDescent="0.35">
      <c r="A240" s="1"/>
      <c r="B240" s="1"/>
      <c r="C240" s="1"/>
      <c r="D240" s="1"/>
    </row>
    <row r="241" spans="1:4" x14ac:dyDescent="0.35">
      <c r="A241" s="1"/>
      <c r="B241" s="1"/>
      <c r="C241" s="1"/>
      <c r="D241" s="1"/>
    </row>
    <row r="242" spans="1:4" x14ac:dyDescent="0.35">
      <c r="A242" s="1"/>
      <c r="B242" s="1"/>
      <c r="C242" s="1"/>
      <c r="D242" s="1"/>
    </row>
    <row r="243" spans="1:4" x14ac:dyDescent="0.35">
      <c r="A243" s="1"/>
      <c r="B243" s="1"/>
      <c r="C243" s="1"/>
      <c r="D243" s="1"/>
    </row>
    <row r="244" spans="1:4" x14ac:dyDescent="0.35">
      <c r="A244" s="1"/>
      <c r="B244" s="1"/>
      <c r="C244" s="1"/>
      <c r="D244" s="1"/>
    </row>
    <row r="245" spans="1:4" x14ac:dyDescent="0.35">
      <c r="A245" s="1"/>
      <c r="B245" s="1"/>
      <c r="C245" s="1"/>
      <c r="D245" s="1"/>
    </row>
    <row r="246" spans="1:4" x14ac:dyDescent="0.35">
      <c r="A246" s="1"/>
      <c r="B246" s="1"/>
      <c r="C246" s="1"/>
      <c r="D246" s="1"/>
    </row>
    <row r="247" spans="1:4" x14ac:dyDescent="0.35">
      <c r="A247" s="1"/>
      <c r="B247" s="1"/>
      <c r="C247" s="1"/>
      <c r="D247" s="1"/>
    </row>
    <row r="248" spans="1:4" x14ac:dyDescent="0.35">
      <c r="A248" s="1"/>
      <c r="B248" s="1"/>
      <c r="C248" s="1"/>
      <c r="D248" s="1"/>
    </row>
    <row r="249" spans="1:4" x14ac:dyDescent="0.35">
      <c r="A249" s="1"/>
      <c r="B249" s="1"/>
      <c r="C249" s="1"/>
      <c r="D249" s="1"/>
    </row>
    <row r="250" spans="1:4" x14ac:dyDescent="0.35">
      <c r="A250" s="1"/>
      <c r="B250" s="1"/>
      <c r="C250" s="1"/>
      <c r="D25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C1BC8-3D1C-41F7-994F-08736D058513}">
  <sheetPr codeName="Sheet5"/>
  <dimension ref="A1:A7"/>
  <sheetViews>
    <sheetView workbookViewId="0">
      <selection activeCell="A10" sqref="A10"/>
    </sheetView>
  </sheetViews>
  <sheetFormatPr defaultRowHeight="14.5" x14ac:dyDescent="0.35"/>
  <sheetData>
    <row r="1" spans="1:1" x14ac:dyDescent="0.35">
      <c r="A1" t="s">
        <v>313</v>
      </c>
    </row>
    <row r="2" spans="1:1" x14ac:dyDescent="0.35">
      <c r="A2" t="s">
        <v>314</v>
      </c>
    </row>
    <row r="3" spans="1:1" x14ac:dyDescent="0.35">
      <c r="A3" t="s">
        <v>315</v>
      </c>
    </row>
    <row r="4" spans="1:1" x14ac:dyDescent="0.35">
      <c r="A4" t="s">
        <v>316</v>
      </c>
    </row>
    <row r="5" spans="1:1" x14ac:dyDescent="0.35">
      <c r="A5" t="s">
        <v>317</v>
      </c>
    </row>
    <row r="6" spans="1:1" x14ac:dyDescent="0.35">
      <c r="A6" t="s">
        <v>318</v>
      </c>
    </row>
    <row r="7" spans="1:1" x14ac:dyDescent="0.35">
      <c r="A7" t="s">
        <v>319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ED483-B5E4-491C-AEF1-8B1562B8931A}">
  <sheetPr codeName="Sheet6" filterMode="1"/>
  <dimension ref="A1:C15"/>
  <sheetViews>
    <sheetView workbookViewId="0">
      <selection activeCell="A16" sqref="A16"/>
    </sheetView>
  </sheetViews>
  <sheetFormatPr defaultRowHeight="14.5" x14ac:dyDescent="0.35"/>
  <cols>
    <col min="1" max="1" width="85.1796875" bestFit="1" customWidth="1"/>
    <col min="2" max="2" width="11" bestFit="1" customWidth="1"/>
  </cols>
  <sheetData>
    <row r="1" spans="1:3" x14ac:dyDescent="0.35">
      <c r="A1" s="22" t="s">
        <v>320</v>
      </c>
      <c r="B1" s="22" t="s">
        <v>17</v>
      </c>
      <c r="C1" s="21" t="s">
        <v>46</v>
      </c>
    </row>
    <row r="2" spans="1:3" hidden="1" x14ac:dyDescent="0.35">
      <c r="A2" s="1" t="s">
        <v>321</v>
      </c>
      <c r="B2" s="1" t="s">
        <v>322</v>
      </c>
      <c r="C2" s="1"/>
    </row>
    <row r="3" spans="1:3" x14ac:dyDescent="0.35">
      <c r="A3" s="1" t="s">
        <v>323</v>
      </c>
      <c r="B3" s="1" t="s">
        <v>324</v>
      </c>
      <c r="C3" s="1"/>
    </row>
    <row r="4" spans="1:3" hidden="1" x14ac:dyDescent="0.35">
      <c r="A4" s="1" t="s">
        <v>325</v>
      </c>
      <c r="B4" s="1" t="s">
        <v>326</v>
      </c>
      <c r="C4" s="1"/>
    </row>
    <row r="5" spans="1:3" hidden="1" x14ac:dyDescent="0.35">
      <c r="A5" s="1" t="s">
        <v>327</v>
      </c>
      <c r="B5" s="1" t="s">
        <v>326</v>
      </c>
      <c r="C5" s="1" t="s">
        <v>328</v>
      </c>
    </row>
    <row r="6" spans="1:3" x14ac:dyDescent="0.35">
      <c r="A6" s="1" t="s">
        <v>329</v>
      </c>
      <c r="B6" s="1" t="s">
        <v>324</v>
      </c>
      <c r="C6" s="1"/>
    </row>
    <row r="7" spans="1:3" x14ac:dyDescent="0.35">
      <c r="A7" s="1" t="s">
        <v>330</v>
      </c>
      <c r="B7" s="1" t="s">
        <v>324</v>
      </c>
      <c r="C7" s="1"/>
    </row>
    <row r="8" spans="1:3" x14ac:dyDescent="0.35">
      <c r="A8" s="1" t="s">
        <v>331</v>
      </c>
      <c r="B8" s="1" t="s">
        <v>324</v>
      </c>
      <c r="C8" s="1"/>
    </row>
    <row r="9" spans="1:3" x14ac:dyDescent="0.35">
      <c r="A9" s="1" t="s">
        <v>332</v>
      </c>
      <c r="B9" s="1" t="s">
        <v>324</v>
      </c>
      <c r="C9" s="1"/>
    </row>
    <row r="10" spans="1:3" x14ac:dyDescent="0.35">
      <c r="A10" s="1" t="s">
        <v>333</v>
      </c>
      <c r="B10" s="1" t="s">
        <v>322</v>
      </c>
      <c r="C10" s="1"/>
    </row>
    <row r="11" spans="1:3" x14ac:dyDescent="0.35">
      <c r="A11" s="1" t="s">
        <v>334</v>
      </c>
      <c r="B11" s="1" t="s">
        <v>322</v>
      </c>
      <c r="C11" s="1"/>
    </row>
    <row r="12" spans="1:3" x14ac:dyDescent="0.35">
      <c r="A12" s="36" t="s">
        <v>335</v>
      </c>
      <c r="B12" s="36" t="s">
        <v>322</v>
      </c>
      <c r="C12" t="s">
        <v>336</v>
      </c>
    </row>
    <row r="13" spans="1:3" x14ac:dyDescent="0.35">
      <c r="A13" s="36" t="s">
        <v>337</v>
      </c>
      <c r="B13" s="36" t="s">
        <v>322</v>
      </c>
    </row>
    <row r="14" spans="1:3" x14ac:dyDescent="0.35">
      <c r="A14" s="36" t="s">
        <v>338</v>
      </c>
      <c r="B14" s="36" t="s">
        <v>322</v>
      </c>
    </row>
    <row r="15" spans="1:3" x14ac:dyDescent="0.35">
      <c r="A15" s="36" t="s">
        <v>339</v>
      </c>
      <c r="B15" s="36" t="s">
        <v>340</v>
      </c>
    </row>
  </sheetData>
  <autoFilter ref="A1:C9" xr:uid="{A4FED483-B5E4-491C-AEF1-8B1562B8931A}">
    <filterColumn colId="1">
      <filters>
        <filter val="In-Progress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Folder_Generator</vt:lpstr>
      <vt:lpstr>Option</vt:lpstr>
      <vt:lpstr>Intake_Completed</vt:lpstr>
      <vt:lpstr>Learning</vt:lpstr>
      <vt:lpstr>Tasks</vt:lpstr>
      <vt:lpstr>Amd</vt:lpstr>
      <vt:lpstr>MAPT</vt:lpstr>
      <vt:lpstr>Rest</vt:lpstr>
      <vt:lpstr>RLT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Janani VS</dc:creator>
  <cp:keywords/>
  <dc:description/>
  <cp:lastModifiedBy>Janani VS</cp:lastModifiedBy>
  <cp:revision/>
  <dcterms:created xsi:type="dcterms:W3CDTF">2024-01-26T21:24:16Z</dcterms:created>
  <dcterms:modified xsi:type="dcterms:W3CDTF">2024-02-25T22:48:19Z</dcterms:modified>
  <cp:category/>
  <cp:contentStatus/>
</cp:coreProperties>
</file>